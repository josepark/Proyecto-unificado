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raestructura de Red Servidor" sheetId="1" r:id="rId5"/>
    <sheet state="visible" name="Infraestructura de Red Swith y " sheetId="2" r:id="rId6"/>
    <sheet state="visible" name="Sistemas de Información" sheetId="3" r:id="rId7"/>
  </sheets>
  <definedNames/>
  <calcPr/>
</workbook>
</file>

<file path=xl/sharedStrings.xml><?xml version="1.0" encoding="utf-8"?>
<sst xmlns="http://schemas.openxmlformats.org/spreadsheetml/2006/main" count="743" uniqueCount="319">
  <si>
    <t>INVENTARIO INFRAESTRUCTURA DE RED — SUIIN  |  Fuente: Diagrama Red UAIIN-CRIC  |  SUIIN-SGSI-INV-001</t>
  </si>
  <si>
    <t>ID Activo</t>
  </si>
  <si>
    <t>Nombre del Activo</t>
  </si>
  <si>
    <t>Descripción / Función</t>
  </si>
  <si>
    <t>Tipo</t>
  </si>
  <si>
    <t>Subtipo / Categoría</t>
  </si>
  <si>
    <t>Zona de Red</t>
  </si>
  <si>
    <t>IP / Segmento</t>
  </si>
  <si>
    <t>VLAN</t>
  </si>
  <si>
    <t>Modelo</t>
  </si>
  <si>
    <t>Serial / Placa</t>
  </si>
  <si>
    <t>Clasificación SI</t>
  </si>
  <si>
    <t>Confidencialidad</t>
  </si>
  <si>
    <t>Integridad</t>
  </si>
  <si>
    <t>Disponibilidad</t>
  </si>
  <si>
    <t>Valor</t>
  </si>
  <si>
    <t>Nivel de Riesgo</t>
  </si>
  <si>
    <t>Amenazas MITRE ATT&amp;CK</t>
  </si>
  <si>
    <t>Controles ISO/POL</t>
  </si>
  <si>
    <t>Estado</t>
  </si>
  <si>
    <t>Fecha Registro</t>
  </si>
  <si>
    <t>Notas de Seguridad</t>
  </si>
  <si>
    <t>RED-012</t>
  </si>
  <si>
    <t>Servidor — Dell EMC PowerEdge R740 (Proxmox version Virtual Environment 6.4-15)</t>
  </si>
  <si>
    <t>Servidor de virtualización Dell EMC PowerEdge R740. Plataforma Proxmox VE. IP: 192.168.1.200/24. Servidor de producción principal del clúster de virtualización de SUIIN.</t>
  </si>
  <si>
    <t>Hardware</t>
  </si>
  <si>
    <t>Servidor / Virtualización</t>
  </si>
  <si>
    <t>B — Cuarto Servidores / Rack 2</t>
  </si>
  <si>
    <t>192.168.1.200/24</t>
  </si>
  <si>
    <t>LAN</t>
  </si>
  <si>
    <t>Dell EMC PowerEdge R740</t>
  </si>
  <si>
    <t>B32XQ53 / SRV 01</t>
  </si>
  <si>
    <t>Altamente Confidencial</t>
  </si>
  <si>
    <t>4 - Crítico</t>
  </si>
  <si>
    <t>Crítico</t>
  </si>
  <si>
    <t>T1486 Ransomware / T1190 Exploit / TA0040 Impacto / T1611 Escape contenedor / T1078 Valid Accounts</t>
  </si>
  <si>
    <t>7.8 Ubicación / 8.7 Antimalware / 8.8 Vulnerabilidades / 8.13 Backup / 8.15 Logging / POL-SI-009</t>
  </si>
  <si>
    <t>Activo</t>
  </si>
  <si>
    <t>20/04/2026</t>
  </si>
  <si>
    <t>ACTIVO CRITICO. Servidor principal Proxmox. Aloja VMs de producción. BCP/DRP activo. MFA obligatorio para acceso.</t>
  </si>
  <si>
    <t>RED-013</t>
  </si>
  <si>
    <t>Servidor — Dell EMC PowerEdge R420 (Proxmox Backups)</t>
  </si>
  <si>
    <t>Servidor Dell EMC PowerEdge R420. Proxmox configurado para backups del entorno de virtualización. IP: 192.168.1.208/24.</t>
  </si>
  <si>
    <t>Servidor / Backups</t>
  </si>
  <si>
    <t>192.168.1.208/24</t>
  </si>
  <si>
    <t>Dell EMC PowerEdge R420</t>
  </si>
  <si>
    <t>DK91DZ1 / DKB3DZ1</t>
  </si>
  <si>
    <t>T1486 Ransomware / T1485 Data Destruction / T1490 Inhibir recuperación</t>
  </si>
  <si>
    <t>8.13 Backup / 7.8 Ubicación / 8.8 Vulnerabilidades / 8.15 Logging / POL-SI-009</t>
  </si>
  <si>
    <t>Servidor backups Proxmox. Respaldos deben estar cifrados (POL-SI-009). Acceso restringido.</t>
  </si>
  <si>
    <t>RED-014</t>
  </si>
  <si>
    <t>Servidor — Dell EMC PowerEdge R540 (Proxmox)</t>
  </si>
  <si>
    <t>Servidor Dell EMC PowerEdge R540. Proxmox VE. IP: 192.168.1.233/24. Aloja VM Open Media Vault (NAS) en 192.168.1.250/24.</t>
  </si>
  <si>
    <t>B — Cuarto Servidores / Rack 1</t>
  </si>
  <si>
    <t>192.168.1.233/24</t>
  </si>
  <si>
    <t>Dell EMC PowerEdge R540</t>
  </si>
  <si>
    <t>6E20K93</t>
  </si>
  <si>
    <t>T1486 Ransomware / T1190 Exploit / TA0040 Impacto / T1611 Escape contenedor</t>
  </si>
  <si>
    <t>7.8 Ubicación / 8.7 Antimalware / 8.13 Backup / 8.15 Logging / POL-SI-009</t>
  </si>
  <si>
    <t>Aloja VM Open Media Vault (almacenamiento NAS). Correlacionar con inventario SAIH.</t>
  </si>
  <si>
    <t>RED-015</t>
  </si>
  <si>
    <t>VM — Open Media Vault (NAS/Almacenamiento SUIIN)</t>
  </si>
  <si>
    <t>Máquina virtual Open Media Vault sobre R540 Proxmox. Funciona como NAS/servidor de almacenamiento compartido. IP: 192.168.1.250/24. CT Sistema de Soporte.</t>
  </si>
  <si>
    <t>Software</t>
  </si>
  <si>
    <t>Máquina Virtual / NAS</t>
  </si>
  <si>
    <t>B — Cuarto Servidores (VM)</t>
  </si>
  <si>
    <t>192.168.1.250/24</t>
  </si>
  <si>
    <t>—</t>
  </si>
  <si>
    <t>Open Media Vault (OMV)</t>
  </si>
  <si>
    <t>VM — sin placa</t>
  </si>
  <si>
    <t>T1530 Data from NAS / T1005 Data Local / T1485 Data Destruction / T1486 Ransomware</t>
  </si>
  <si>
    <t>8.3 Restricción acceso / 8.13 Backup / 8.24 Cifrado / 5.15 Control acceso / POL-SI-002</t>
  </si>
  <si>
    <t>NAS compartido de SUIIN. Verificar: autenticación, cifrado volúmenes, logs de acceso activos.</t>
  </si>
  <si>
    <t>RED-019</t>
  </si>
  <si>
    <t>Oracle Database Appliance X8-2S (ODAXS8)</t>
  </si>
  <si>
    <t>Oracle Database Appliance X8-2S. VLANs 10 y 20 (10.10.10/20). Motor de base de datos principal de SUIIN. Modelo: ODAXS8. Serial: 2049XCA0CL.</t>
  </si>
  <si>
    <t>Base de Datos / Appliance</t>
  </si>
  <si>
    <t>C — Cuarto Servidores / Rack 1</t>
  </si>
  <si>
    <t>192.168.1.219/24</t>
  </si>
  <si>
    <t>Oracle DB Appliance X8-2S</t>
  </si>
  <si>
    <t>2049XCA0CL</t>
  </si>
  <si>
    <t>T1190 Exploit / T1213 Data Repositories / TA0009 Recolección / T1485 Destrucción / T1486 Ransomware</t>
  </si>
  <si>
    <t>8.3 Restricción / 8.24 Cifrado / 8.8 Vulnerabilidades / 5.16 Identidades / POL-SI-002 / POL-SI-015</t>
  </si>
  <si>
    <t>ACTIVO CRITICO. Oracle DB principal. Puede contener datos personales Ley 1581/2012. Acceso solo DBA con MFA. Respaldo dedicado activo.</t>
  </si>
  <si>
    <t>RED-020</t>
  </si>
  <si>
    <t>Storage — Dell PowerVault ME4012</t>
  </si>
  <si>
    <t>Sistema de almacenamiento Dell PowerVault ME4012. VLANs 10 y 20. Serial: 4GNVJ93. Almacenamiento centralizado de datos críticos.</t>
  </si>
  <si>
    <t>Almacenamiento / SAN</t>
  </si>
  <si>
    <t>Dell PowerVault ME4012</t>
  </si>
  <si>
    <t>4GNVJ93</t>
  </si>
  <si>
    <t>T1485 Data Destruction / T1486 Ransomware / T1530 Storage / T1490 Inhibir recuperación</t>
  </si>
  <si>
    <t>8.13 Backup / 8.24 Cifrado / 7.8 Ubicación / 8.8 Vulnerabilidades / POL-SI-009</t>
  </si>
  <si>
    <t>ACTIVO CRITICO. SAN/Storage principal. Cifrado de volúmenes, respaldos fuera de sitio activos requeridos.</t>
  </si>
  <si>
    <t>RED-003</t>
  </si>
  <si>
    <t>Firewall — Netgate pfSense NG Firewall</t>
  </si>
  <si>
    <t>Firewall de próxima generación pfSense. Controla tráfico entre WAN e internet y redes internas LAN 192.168.1.0/24. Activo de seguridad perimetral crítico de SUIIN.</t>
  </si>
  <si>
    <t>Seguridad Perimetral</t>
  </si>
  <si>
    <t>A — Perímetro / Firewall / Rack 2</t>
  </si>
  <si>
    <t>LAN 192.168.1.0/24</t>
  </si>
  <si>
    <t>Netgate pfSense NG</t>
  </si>
  <si>
    <t>[Por registrar]</t>
  </si>
  <si>
    <t>T1190 Exploit App / T1499 DoS / TA0005 Evasión / T1498 DDoS / T1008 Fallback Channels</t>
  </si>
  <si>
    <t>8.20 Redes / 8.22 Segregación / 8.23 Filtrado web / 8.21 Servicios red / POL-SI-021</t>
  </si>
  <si>
    <t>ACTIVO CRITICO. Reglas revisión semestral. Sin acceso desde internet. Logs a SIEM. MFA obligatorio para admin.</t>
  </si>
  <si>
    <t>RED-001</t>
  </si>
  <si>
    <t>ISP Modem — Isocom M2600G Series</t>
  </si>
  <si>
    <t>Módem ISP Movistar. Punto de entrada WAN hacia la red de SUIIN.</t>
  </si>
  <si>
    <t>Perimetral</t>
  </si>
  <si>
    <t>A — Perímetro / Internet</t>
  </si>
  <si>
    <t>WAN (ISP)</t>
  </si>
  <si>
    <t>Isocom M2600G Series</t>
  </si>
  <si>
    <t>T1190 Exploit App / T1498 DDoS / TA0001 Acceso Inicial</t>
  </si>
  <si>
    <t>8.20 Seguridad redes / 8.22 Segregación / 7.11 Suministros / POL-SI-021</t>
  </si>
  <si>
    <t>Administrado por ISP. Verificar credenciales de acceso al panel de administración.</t>
  </si>
  <si>
    <t>RED-002</t>
  </si>
  <si>
    <t>Router ISP — HP MSR930</t>
  </si>
  <si>
    <t>Router perimetral HP MSR930. Gestiona tráfico WAN → LAN 192.168.1.0/24. Primera capa de enrutamiento.</t>
  </si>
  <si>
    <t>HP MSR930</t>
  </si>
  <si>
    <t>T1190 Exploit App / T1078 Valid Accounts / T1557 AiTM / TA0001</t>
  </si>
  <si>
    <t>8.20 Seguridad redes / 8.21 Servicios red / 8.22 Segregación / POL-SI-021</t>
  </si>
  <si>
    <t>Router de borde. Administración solo desde red interna segura. Credenciales bajo POL-SI-002.</t>
  </si>
  <si>
    <t>RED-004</t>
  </si>
  <si>
    <t>Switch 3 — Dell N1124t ON (Administrativos)</t>
  </si>
  <si>
    <t>Switch Dell N1124t ON gestionado. Red administrativa IP: 192.168.1.242. VLANs: 30, 40, 50, 70. Puertos PT18 y PT16.</t>
  </si>
  <si>
    <t>Infraestructura de Red</t>
  </si>
  <si>
    <t>A — Red Interna / Administrativos</t>
  </si>
  <si>
    <t>192.168.1.242</t>
  </si>
  <si>
    <t>VLAN 30,40,50,70</t>
  </si>
  <si>
    <t>Dell N1124t ON</t>
  </si>
  <si>
    <t>SWITCH 01 / [verificar]</t>
  </si>
  <si>
    <t>T1557 AiTM / T1040 Sniffing / T1078 Valid Accounts / TA0008 Movimiento Lateral</t>
  </si>
  <si>
    <t>8.20 Redes / 8.22 Segregación VLANs / 7.8 Ubicación / POL-SI-021</t>
  </si>
  <si>
    <t>Switch gestionado. Acceso admin restringido. Firmware actualizado. Correlacionar con SWITCH 01 del inventario.</t>
  </si>
  <si>
    <t>RED-005</t>
  </si>
  <si>
    <t>Switch 4 — Dell N1124t ON (Doctorado)</t>
  </si>
  <si>
    <t>Switch Dell N1124t ON gestionado para zona Doctorado / área A. LAN 192.168.1.0/24. Conecta hacia Switch Doctorado TL-SG1024D.</t>
  </si>
  <si>
    <t>A — Red Interna / Doctorado</t>
  </si>
  <si>
    <t>192.168.1.0/24</t>
  </si>
  <si>
    <t>VLAN 70</t>
  </si>
  <si>
    <t>3 - Alto</t>
  </si>
  <si>
    <t>T1557 AiTM / T1040 Sniffing / TA0008 Movimiento Lateral</t>
  </si>
  <si>
    <t>8.20 Redes / 8.22 VLANs / POL-SI-021</t>
  </si>
  <si>
    <t>Switch zona Doctorado. Conecta VLAN 70.</t>
  </si>
  <si>
    <t>RED-006</t>
  </si>
  <si>
    <t>Switch Doctorado — TP-Link TL-SG1024D</t>
  </si>
  <si>
    <t>Switch NO gestionado TP-Link TL-SG1024D 24 puertos. Zona Doctorado. Equipos VLAN 70. Red: 192.168.70.0/24.</t>
  </si>
  <si>
    <t>192.168.70.0/24</t>
  </si>
  <si>
    <t>TP-Link TL-SG1024D</t>
  </si>
  <si>
    <t>Confidencial</t>
  </si>
  <si>
    <t>Alto</t>
  </si>
  <si>
    <t>8.20 Redes / 8.22 Segregación / POL-SI-021</t>
  </si>
  <si>
    <t>Switch NO gestionado — sin logging. Riesgo por falta de visibilidad. Considerar reemplazo por switch gestionado.</t>
  </si>
  <si>
    <t>RED-007</t>
  </si>
  <si>
    <t>Switch 5 — TP-Link TL-SF1024D (Oficinas y Campus)</t>
  </si>
  <si>
    <t>Switch NO gestionado TP-Link TL-SF1024D. Conecta equipos LAN oficinas y campus. Red: 192.168.1.0/24.</t>
  </si>
  <si>
    <t>A — Red Interna / Oficinas</t>
  </si>
  <si>
    <t>TP-Link TL-SF1024D</t>
  </si>
  <si>
    <t>T1557 AiTM / T1040 Sniffing / T1200 Hardware / TA0008 Movimiento Lateral</t>
  </si>
  <si>
    <t>Switch NO gestionado — sin logging. Revisar si requiere reemplazo por switch gestionado.</t>
  </si>
  <si>
    <t>RED-008</t>
  </si>
  <si>
    <t>Switch Sala 2 SGP — TP-Link TL-SG1024D</t>
  </si>
  <si>
    <t>Switch TP-Link TL-SG1024D 24 puertos para Sala 2 SGP. VLAN 40: 192.168.40.0/24.</t>
  </si>
  <si>
    <t>A — Red Interna / Sala SGP</t>
  </si>
  <si>
    <t>192.168.40.0/24</t>
  </si>
  <si>
    <t>VLAN 40</t>
  </si>
  <si>
    <t>Switch NO gestionado VLAN 40. Sin capacidad de logging.</t>
  </si>
  <si>
    <t>RED-009</t>
  </si>
  <si>
    <t>AP WiFi — 2x LinkSys Modo Router (SALA4 y RADIO / Oficinas)</t>
  </si>
  <si>
    <t>Dos APs LinkSys Modo Router. SSIDs: SALA4#UAIIN (192.168.1.146) y RADIOUAIIN (192.168.1.147). Red de oficinas y campus.</t>
  </si>
  <si>
    <t>WiFi / Inalámbrico</t>
  </si>
  <si>
    <t>A — WiFi / Oficinas y Campus</t>
  </si>
  <si>
    <t>192.168.1.146 / 192.168.1.147</t>
  </si>
  <si>
    <t>LinkSys (modelo por confirmar)</t>
  </si>
  <si>
    <t>T1040 Sniffing / T1557 AiTM / T1133 External Remote / T1110 Brute Force WiFi</t>
  </si>
  <si>
    <t>8.20 Redes / 8.22 Segregación (invitados vs. corp.) / POL-SI-021</t>
  </si>
  <si>
    <t>Verificar WPA3. Red invitados completamente segmentada de LAN. Credenciales admin bajo POL-SI-002.</t>
  </si>
  <si>
    <t>RED-010</t>
  </si>
  <si>
    <t>AP WiFi — 2x LinkSys Modo Router (AUDITORIO2)</t>
  </si>
  <si>
    <t>Dos APs LinkSys Modo Router para el Auditorio. SSID: AUDITORIO2#UAIIN. Red: 192.168.70.7-8/24. VLAN 70.</t>
  </si>
  <si>
    <t>A — WiFi / Auditorio</t>
  </si>
  <si>
    <t>192.168.70.7 / 192.168.70.8</t>
  </si>
  <si>
    <t>2 - Medio</t>
  </si>
  <si>
    <t>T1040 Sniffing / T1557 AiTM / T1110 Brute Force WiFi</t>
  </si>
  <si>
    <t>8.20 Redes / 8.22 Segregación VLANs / POL-SI-021</t>
  </si>
  <si>
    <t>SSID AUDITORIO2#UAIIN en VLAN 70. Verificar segmentación de red crítica.</t>
  </si>
  <si>
    <t>RED-011</t>
  </si>
  <si>
    <t>AP WiFi — LinkSys Modo Router (SGP#UAIIN)</t>
  </si>
  <si>
    <t>AP LinkSys Modo Router para zona SGP. SSID: SGP#UAIIN. Red: 192.168.40.23/24. VLAN 40.</t>
  </si>
  <si>
    <t>A — WiFi / SGP</t>
  </si>
  <si>
    <t>192.168.40.23/24</t>
  </si>
  <si>
    <t>SSID SGP#UAIIN en VLAN 40. Verificar segmentación de redes de servidores.</t>
  </si>
  <si>
    <t>RED-021</t>
  </si>
  <si>
    <t>DVR Hikvision — Cámara Domo Sala de Juntas</t>
  </si>
  <si>
    <t>DVR Hikvision. Gestiona cámara domo Sala de Juntas. IP: 192.168.1.149/24. Nodo origen: 192.168.1.146.</t>
  </si>
  <si>
    <t>CCTV / Videovigilancia</t>
  </si>
  <si>
    <t>D — CCTV / Videovigilancia</t>
  </si>
  <si>
    <t>192.168.1.149/24</t>
  </si>
  <si>
    <t>Hikvision DVR</t>
  </si>
  <si>
    <t>T1200 Hardware / T1078 Valid Accounts / CVEs críticos firmware Hikvision / T1040 Sniffing</t>
  </si>
  <si>
    <t>7.4 Monitoreo físico / 7.2 Acceso físico / 8.8 Vulnerabilidades firmware / POL-SI-005</t>
  </si>
  <si>
    <t>ALERTA: Hikvision tiene historial de CVEs críticos. Verificar URGENTE: firmware actualizado, contraseñas por defecto cambiadas, acceso internet DESHABILITADO, segmentar en VLAN CCTV separada.</t>
  </si>
  <si>
    <t>RED-022</t>
  </si>
  <si>
    <t>DVR Dahua — Oficinas y Campus</t>
  </si>
  <si>
    <t>DVR Dahua para cámaras de vigilancia de Oficinas y Campus de SUIIN. Misma zona de red que DVR Hikvision.</t>
  </si>
  <si>
    <t>192.168.1.0/24 (por confirmar)</t>
  </si>
  <si>
    <t>Dahua DVR</t>
  </si>
  <si>
    <t>T1200 Hardware / T1078 Valid Accounts / CVEs críticos firmware Dahua / T1040 Sniffing</t>
  </si>
  <si>
    <t>ALERTA: Dahua también tiene historial de CVEs críticos. Mismas acciones urgentes que Hikvision DVR. Segmentar en VLAN CCTV dedicada.</t>
  </si>
  <si>
    <t>RESUMEN: 22 activos de infraestructura de red identificados en el diagrama Red_UAIIN_CRIC.jpg | Pendiente: seriales físicos de switches/APs, IPs exactas de DVRs, modelos completos de LinkSys</t>
  </si>
  <si>
    <t>INVENTARIO DE MÓDULOS, STACK TECNOLÓGICO Y DOCUMENTACIÓN</t>
  </si>
  <si>
    <t>#</t>
  </si>
  <si>
    <t>Módulo SUIIN</t>
  </si>
  <si>
    <t>Estado Operativo</t>
  </si>
  <si>
    <t>Backend (Framework)</t>
  </si>
  <si>
    <t>Frontend</t>
  </si>
  <si>
    <t>Schema BD</t>
  </si>
  <si>
    <t>API REST Nativa</t>
  </si>
  <si>
    <t>Integración Gateway</t>
  </si>
  <si>
    <t>Estado Documentación</t>
  </si>
  <si>
    <t>Sistema MCA_SUIIN_V1 Equivalente</t>
  </si>
  <si>
    <t>Clasificación SI (MCA_SUIIN_V1)</t>
  </si>
  <si>
    <t>Roles con Acceso (MCA_SUIIN_V1)</t>
  </si>
  <si>
    <t>SERVIDOR VIRTUAL</t>
  </si>
  <si>
    <t>URL</t>
  </si>
  <si>
    <t>PRIORIZAR ANALISIS</t>
  </si>
  <si>
    <t>JUSTICIA PROPIA</t>
  </si>
  <si>
    <t>No operación</t>
  </si>
  <si>
    <t>Django REST Framework</t>
  </si>
  <si>
    <t>VueJS</t>
  </si>
  <si>
    <t>PLANES_VIDA</t>
  </si>
  <si>
    <t>Sí</t>
  </si>
  <si>
    <t>REST nativo → Gateway directo</t>
  </si>
  <si>
    <t>Requisitos, funcionalidades, BD, manuales</t>
  </si>
  <si>
    <t>SIGP / Planes Vida</t>
  </si>
  <si>
    <t>CM(C), DOS(C), DAO(C), DLR(C), SA(L)</t>
  </si>
  <si>
    <t>DDHH</t>
  </si>
  <si>
    <t>MUJERES</t>
  </si>
  <si>
    <t>PLANEACIÓN</t>
  </si>
  <si>
    <t>FICHA FAMILIAR</t>
  </si>
  <si>
    <t>En operación</t>
  </si>
  <si>
    <t>Spring Boot</t>
  </si>
  <si>
    <t>Angular</t>
  </si>
  <si>
    <t>ACCESO, DEVCRIC</t>
  </si>
  <si>
    <t>Diagramas arquitectura, casos uso, historias, manual</t>
  </si>
  <si>
    <t>SISPI</t>
  </si>
  <si>
    <t>CM(C), DOS(M), DAO(C), DLR(M), DP(M), DBA(L)</t>
  </si>
  <si>
    <t>CENSO</t>
  </si>
  <si>
    <t>React</t>
  </si>
  <si>
    <t>SUIIN-CRIC</t>
  </si>
  <si>
    <t>SIAP</t>
  </si>
  <si>
    <t>CM(C), DOS(C), DAO(C), DLR(C), DP(M), DTG(L)</t>
  </si>
  <si>
    <t>https://suiin.cric-colombia.org/login</t>
  </si>
  <si>
    <t>RADICACIÓN CUENTAS</t>
  </si>
  <si>
    <t>Pendiente arquitectura e integración</t>
  </si>
  <si>
    <t>SIAP / Gestión Doc.</t>
  </si>
  <si>
    <t>CM(C), SGC(C), DAO(C), DLR(C), DP(M)</t>
  </si>
  <si>
    <t>PRIORIZAR</t>
  </si>
  <si>
    <t>ANTICIPOS</t>
  </si>
  <si>
    <t>MINGA PARA TEJER</t>
  </si>
  <si>
    <t>HV_PROD</t>
  </si>
  <si>
    <t>En proceso de recopilación</t>
  </si>
  <si>
    <t>CM(C), DOS(C), DAO(C), DLR(C), DP(M)</t>
  </si>
  <si>
    <t>https://auth-suiin.cric-colombia.org/</t>
  </si>
  <si>
    <t>CONTRATACIÓN</t>
  </si>
  <si>
    <t>UNIDAD_PROD</t>
  </si>
  <si>
    <t>MULTIMEDIA</t>
  </si>
  <si>
    <t>Publico</t>
  </si>
  <si>
    <t>https://suiin.cric-colombia.org:9099/multimedia/</t>
  </si>
  <si>
    <t>TRANSPORTES</t>
  </si>
  <si>
    <t>En implementación</t>
  </si>
  <si>
    <t>UNIDAD</t>
  </si>
  <si>
    <t>CM(C), DOS(M), DAO(M), DLR(M), DP(M)</t>
  </si>
  <si>
    <t>PRESUPUESTO (PPTO)</t>
  </si>
  <si>
    <t>Scriptcase</t>
  </si>
  <si>
    <t>CM(C), DOS(M), SGC(M), DAO(M), DP(M)</t>
  </si>
  <si>
    <t>SION</t>
  </si>
  <si>
    <t xml:space="preserve">vatps://192.168.1.213 </t>
  </si>
  <si>
    <t>KEYCLOAK</t>
  </si>
  <si>
    <t>SISTEMA PEDAGOGICO UAIIN</t>
  </si>
  <si>
    <r>
      <rPr>
        <rFont val="Calibri"/>
        <color rgb="FF1155CC"/>
        <sz val="11.0"/>
        <u/>
      </rPr>
      <t>https://sia.uaiinpebi-cric.edu.co/</t>
    </r>
    <r>
      <rPr>
        <rFont val="Calibri"/>
        <color rgb="FF000000"/>
        <sz val="11.0"/>
      </rPr>
      <t xml:space="preserve"> </t>
    </r>
  </si>
  <si>
    <t>MOODEL</t>
  </si>
  <si>
    <t>AZRA</t>
  </si>
  <si>
    <t>WS DIRECTOR ACTIVO</t>
  </si>
  <si>
    <t>SECCIÓN 2 — REQUISITOS DE API GATEWAY POR MÓDULO</t>
  </si>
  <si>
    <t>Módulo</t>
  </si>
  <si>
    <t>Stack</t>
  </si>
  <si>
    <t>Validación JWT
(Keycloak)</t>
  </si>
  <si>
    <t>SSO
(Single Sign-On)</t>
  </si>
  <si>
    <t>CORS
Habilitado</t>
  </si>
  <si>
    <t>Inyección Roles
en Header</t>
  </si>
  <si>
    <t>Refresh
Token</t>
  </si>
  <si>
    <t>Balanceo
de Carga</t>
  </si>
  <si>
    <t>Estado
Operativo</t>
  </si>
  <si>
    <t>Prioridad
Integración</t>
  </si>
  <si>
    <t>Django REST Framework + VueJS</t>
  </si>
  <si>
    <t>✓</t>
  </si>
  <si>
    <t>Baja — Pendiente reactivación</t>
  </si>
  <si>
    <t>Spring Boot + Angular</t>
  </si>
  <si>
    <t>Alta — Inmediata</t>
  </si>
  <si>
    <t>Django REST Framework + React</t>
  </si>
  <si>
    <t>Scriptcase + Scriptcase</t>
  </si>
  <si>
    <t>Media — Próxima fase</t>
  </si>
  <si>
    <t>LEYENDA</t>
  </si>
  <si>
    <t>Fondo VERDE</t>
  </si>
  <si>
    <t>Módulo En operación / Requisito ✓ satisfecho / Prioridad Alta</t>
  </si>
  <si>
    <t>Fondo AMARILLO</t>
  </si>
  <si>
    <t>Módulo En implementación / Prioridad Media</t>
  </si>
  <si>
    <t>Fondo ROJO claro</t>
  </si>
  <si>
    <t>Módulo No en operación / Prioridad Baja</t>
  </si>
  <si>
    <t>— (guión)</t>
  </si>
  <si>
    <t>Requisito no aplica o no requerido para este módulo</t>
  </si>
  <si>
    <t>Integración directa</t>
  </si>
  <si>
    <t>API REST nativa → validación JWT directo en Gateway</t>
  </si>
  <si>
    <t>Proxy phpRunner</t>
  </si>
  <si>
    <t>Scriptcase sin REST nativo → integración vía phpRunner como proxy</t>
  </si>
  <si>
    <t>Keycloak SSO</t>
  </si>
  <si>
    <t>Autenticación centralizada: un solo login para todos los módulos</t>
  </si>
  <si>
    <t>Inyección Roles</t>
  </si>
  <si>
    <t>Gateway inyecta roles Keycloak en cabeceras HTTP hacia el backend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</si>
</sst>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9.0"/>
      <color rgb="FF1B3A6B"/>
      <name val="Arial"/>
    </font>
    <font>
      <sz val="9.0"/>
      <color rgb="FF111827"/>
      <name val="Arial"/>
    </font>
    <font>
      <b/>
      <sz val="9.0"/>
      <color rgb="FF991B1B"/>
      <name val="Arial"/>
    </font>
    <font>
      <b/>
      <sz val="9.0"/>
      <color rgb="FF166534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9.0"/>
      <color rgb="FF854D0E"/>
      <name val="Arial"/>
    </font>
    <font>
      <b/>
      <sz val="11.0"/>
      <color rgb="FF1F3864"/>
      <name val="Arial"/>
    </font>
    <font>
      <b/>
      <sz val="11.0"/>
      <color rgb="FFFFFFFF"/>
      <name val="Arial"/>
    </font>
    <font>
      <b/>
      <color rgb="FFFFFFFF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b/>
      <sz val="11.0"/>
      <color rgb="FF375623"/>
      <name val="Arial"/>
    </font>
    <font>
      <sz val="11.0"/>
      <color rgb="FF808080"/>
      <name val="Arial"/>
    </font>
    <font>
      <b/>
      <sz val="9.0"/>
      <color rgb="FF9C0006"/>
      <name val="Arial"/>
    </font>
    <font>
      <b/>
      <sz val="9.0"/>
      <color rgb="FF375623"/>
      <name val="Arial"/>
    </font>
    <font>
      <b/>
      <sz val="9.0"/>
      <color rgb="FF9C57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CA5A5"/>
        <bgColor rgb="FFFCA5A5"/>
      </patternFill>
    </fill>
    <fill>
      <patternFill patternType="solid">
        <fgColor rgb="FFBBF7D0"/>
        <bgColor rgb="FFBBF7D0"/>
      </patternFill>
    </fill>
    <fill>
      <patternFill patternType="solid">
        <fgColor rgb="FFFFF0F0"/>
        <bgColor rgb="FFFFF0F0"/>
      </patternFill>
    </fill>
    <fill>
      <patternFill patternType="solid">
        <fgColor rgb="FFF3E8FF"/>
        <bgColor rgb="FFF3E8FF"/>
      </patternFill>
    </fill>
    <fill>
      <patternFill patternType="solid">
        <fgColor rgb="FFEFF6FF"/>
        <bgColor rgb="FFEFF6FF"/>
      </patternFill>
    </fill>
    <fill>
      <patternFill patternType="solid">
        <fgColor rgb="FFCCFBF1"/>
        <bgColor rgb="FFCCFBF1"/>
      </patternFill>
    </fill>
    <fill>
      <patternFill patternType="solid">
        <fgColor rgb="FFEDE9FE"/>
        <bgColor rgb="FFEDE9FE"/>
      </patternFill>
    </fill>
    <fill>
      <patternFill patternType="solid">
        <fgColor rgb="FFFEF08A"/>
        <bgColor rgb="FFFEF08A"/>
      </patternFill>
    </fill>
    <fill>
      <patternFill patternType="solid">
        <fgColor rgb="FFFFEDD5"/>
        <bgColor rgb="FFFFEDD5"/>
      </patternFill>
    </fill>
    <fill>
      <patternFill patternType="solid">
        <fgColor rgb="FFB6D7A8"/>
        <bgColor rgb="FFB6D7A8"/>
      </patternFill>
    </fill>
    <fill>
      <patternFill patternType="solid">
        <fgColor rgb="FFFCE4D6"/>
        <bgColor rgb="FFFCE4D6"/>
      </patternFill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CC0000"/>
        <bgColor rgb="FFCC0000"/>
      </patternFill>
    </fill>
    <fill>
      <patternFill patternType="solid">
        <fgColor rgb="FFB45F06"/>
        <bgColor rgb="FFB45F06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4" fillId="5" fontId="7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7" fontId="4" numFmtId="0" xfId="0" applyAlignment="1" applyBorder="1" applyFont="1">
      <alignment horizontal="center" shrinkToFit="0" vertical="center" wrapText="0"/>
    </xf>
    <xf borderId="0" fillId="2" fontId="8" numFmtId="0" xfId="0" applyFont="1"/>
    <xf borderId="0" fillId="2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8" fontId="4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4" numFmtId="0" xfId="0" applyAlignment="1" applyBorder="1" applyFont="1">
      <alignment horizontal="center" shrinkToFit="0" vertical="center" wrapText="0"/>
    </xf>
    <xf borderId="4" fillId="9" fontId="4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ont="1">
      <alignment horizontal="left" shrinkToFit="0" vertical="center" wrapText="1"/>
    </xf>
    <xf borderId="4" fillId="9" fontId="4" numFmtId="0" xfId="0" applyAlignment="1" applyBorder="1" applyFont="1">
      <alignment horizontal="center" shrinkToFit="0" vertical="center" wrapText="0"/>
    </xf>
    <xf borderId="4" fillId="10" fontId="4" numFmtId="0" xfId="0" applyAlignment="1" applyBorder="1" applyFill="1" applyFont="1">
      <alignment horizontal="left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10" fontId="4" numFmtId="0" xfId="0" applyAlignment="1" applyBorder="1" applyFont="1">
      <alignment horizontal="center" shrinkToFit="0" vertical="center" wrapText="0"/>
    </xf>
    <xf borderId="4" fillId="11" fontId="10" numFmtId="0" xfId="0" applyAlignment="1" applyBorder="1" applyFill="1" applyFont="1">
      <alignment horizontal="center" shrinkToFit="0" vertical="center" wrapText="0"/>
    </xf>
    <xf borderId="4" fillId="12" fontId="4" numFmtId="0" xfId="0" applyAlignment="1" applyBorder="1" applyFill="1" applyFont="1">
      <alignment horizontal="left" shrinkToFit="0" vertical="center" wrapText="1"/>
    </xf>
    <xf borderId="4" fillId="12" fontId="5" numFmtId="0" xfId="0" applyAlignment="1" applyBorder="1" applyFont="1">
      <alignment horizontal="left" shrinkToFit="0" vertical="center" wrapText="1"/>
    </xf>
    <xf borderId="4" fillId="12" fontId="4" numFmtId="0" xfId="0" applyAlignment="1" applyBorder="1" applyFont="1">
      <alignment horizontal="center" shrinkToFit="0" vertical="center" wrapText="0"/>
    </xf>
    <xf borderId="4" fillId="11" fontId="4" numFmtId="0" xfId="0" applyAlignment="1" applyBorder="1" applyFont="1">
      <alignment horizontal="left" shrinkToFit="0" vertical="center" wrapText="1"/>
    </xf>
    <xf borderId="4" fillId="11" fontId="5" numFmtId="0" xfId="0" applyAlignment="1" applyBorder="1" applyFont="1">
      <alignment horizontal="left" shrinkToFit="0" vertical="center" wrapText="1"/>
    </xf>
    <xf borderId="4" fillId="11" fontId="4" numFmtId="0" xfId="0" applyAlignment="1" applyBorder="1" applyFont="1">
      <alignment horizontal="center" shrinkToFit="0" vertical="center" wrapText="0"/>
    </xf>
    <xf borderId="1" fillId="13" fontId="3" numFmtId="0" xfId="0" applyAlignment="1" applyBorder="1" applyFill="1" applyFont="1">
      <alignment horizontal="center" shrinkToFit="0" vertical="center" wrapText="1"/>
    </xf>
    <xf borderId="5" fillId="3" fontId="11" numFmtId="0" xfId="0" applyAlignment="1" applyBorder="1" applyFont="1">
      <alignment horizontal="center" readingOrder="0" shrinkToFit="0" vertical="bottom" wrapText="1"/>
    </xf>
    <xf borderId="6" fillId="0" fontId="2" numFmtId="0" xfId="0" applyBorder="1" applyFont="1"/>
    <xf borderId="7" fillId="0" fontId="2" numFmtId="0" xfId="0" applyBorder="1" applyFont="1"/>
    <xf borderId="8" fillId="2" fontId="12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0"/>
    </xf>
    <xf borderId="8" fillId="2" fontId="13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readingOrder="0"/>
    </xf>
    <xf borderId="8" fillId="14" fontId="14" numFmtId="0" xfId="0" applyAlignment="1" applyBorder="1" applyFill="1" applyFont="1">
      <alignment horizontal="center" shrinkToFit="0" vertical="bottom" wrapText="1"/>
    </xf>
    <xf borderId="8" fillId="14" fontId="14" numFmtId="0" xfId="0" applyAlignment="1" applyBorder="1" applyFont="1">
      <alignment shrinkToFit="0" vertical="bottom" wrapText="1"/>
    </xf>
    <xf borderId="8" fillId="14" fontId="15" numFmtId="0" xfId="0" applyAlignment="1" applyBorder="1" applyFont="1">
      <alignment shrinkToFit="0" vertical="bottom" wrapText="1"/>
    </xf>
    <xf borderId="8" fillId="14" fontId="15" numFmtId="0" xfId="0" applyAlignment="1" applyBorder="1" applyFont="1">
      <alignment horizontal="center" shrinkToFit="0" vertical="bottom" wrapText="1"/>
    </xf>
    <xf borderId="8" fillId="15" fontId="8" numFmtId="0" xfId="0" applyAlignment="1" applyBorder="1" applyFill="1" applyFont="1">
      <alignment readingOrder="0"/>
    </xf>
    <xf borderId="8" fillId="16" fontId="8" numFmtId="0" xfId="0" applyBorder="1" applyFill="1" applyFont="1"/>
    <xf borderId="0" fillId="0" fontId="16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left" shrinkToFit="0" vertical="bottom" wrapText="0"/>
    </xf>
    <xf borderId="8" fillId="17" fontId="14" numFmtId="0" xfId="0" applyAlignment="1" applyBorder="1" applyFill="1" applyFont="1">
      <alignment horizontal="center" shrinkToFit="0" vertical="bottom" wrapText="1"/>
    </xf>
    <xf borderId="8" fillId="17" fontId="14" numFmtId="0" xfId="0" applyAlignment="1" applyBorder="1" applyFont="1">
      <alignment shrinkToFit="0" vertical="bottom" wrapText="1"/>
    </xf>
    <xf borderId="8" fillId="17" fontId="15" numFmtId="0" xfId="0" applyAlignment="1" applyBorder="1" applyFont="1">
      <alignment shrinkToFit="0" vertical="bottom" wrapText="1"/>
    </xf>
    <xf borderId="8" fillId="17" fontId="15" numFmtId="0" xfId="0" applyAlignment="1" applyBorder="1" applyFont="1">
      <alignment horizontal="center" shrinkToFit="0" vertical="bottom" wrapText="1"/>
    </xf>
    <xf borderId="8" fillId="18" fontId="18" numFmtId="0" xfId="0" applyAlignment="1" applyBorder="1" applyFill="1" applyFont="1">
      <alignment horizontal="left" readingOrder="0" shrinkToFit="0" vertical="bottom" wrapText="0"/>
    </xf>
    <xf borderId="8" fillId="19" fontId="14" numFmtId="0" xfId="0" applyAlignment="1" applyBorder="1" applyFill="1" applyFont="1">
      <alignment horizontal="center" shrinkToFit="0" vertical="bottom" wrapText="1"/>
    </xf>
    <xf borderId="8" fillId="19" fontId="14" numFmtId="0" xfId="0" applyAlignment="1" applyBorder="1" applyFont="1">
      <alignment shrinkToFit="0" vertical="bottom" wrapText="1"/>
    </xf>
    <xf borderId="8" fillId="19" fontId="15" numFmtId="0" xfId="0" applyAlignment="1" applyBorder="1" applyFont="1">
      <alignment shrinkToFit="0" vertical="bottom" wrapText="1"/>
    </xf>
    <xf borderId="8" fillId="0" fontId="18" numFmtId="0" xfId="0" applyAlignment="1" applyBorder="1" applyFont="1">
      <alignment horizontal="left" shrinkToFit="0" vertical="bottom" wrapText="1"/>
    </xf>
    <xf borderId="8" fillId="19" fontId="15" numFmtId="0" xfId="0" applyAlignment="1" applyBorder="1" applyFont="1">
      <alignment horizontal="center" shrinkToFit="0" vertical="bottom" wrapText="1"/>
    </xf>
    <xf borderId="8" fillId="13" fontId="18" numFmtId="0" xfId="0" applyAlignment="1" applyBorder="1" applyFont="1">
      <alignment horizontal="left" readingOrder="0" shrinkToFit="0" vertical="bottom" wrapText="0"/>
    </xf>
    <xf borderId="8" fillId="13" fontId="19" numFmtId="0" xfId="0" applyAlignment="1" applyBorder="1" applyFont="1">
      <alignment horizontal="left" readingOrder="0" shrinkToFit="0" vertical="bottom" wrapText="0"/>
    </xf>
    <xf borderId="8" fillId="16" fontId="15" numFmtId="0" xfId="0" applyAlignment="1" applyBorder="1" applyFont="1">
      <alignment shrinkToFit="0" vertical="bottom" wrapText="1"/>
    </xf>
    <xf borderId="8" fillId="16" fontId="18" numFmtId="0" xfId="0" applyAlignment="1" applyBorder="1" applyFont="1">
      <alignment horizontal="left" shrinkToFit="0" vertical="bottom" wrapText="1"/>
    </xf>
    <xf borderId="8" fillId="16" fontId="15" numFmtId="0" xfId="0" applyAlignment="1" applyBorder="1" applyFont="1">
      <alignment horizontal="center" shrinkToFit="0" vertical="bottom" wrapText="1"/>
    </xf>
    <xf borderId="8" fillId="16" fontId="8" numFmtId="0" xfId="0" applyAlignment="1" applyBorder="1" applyFont="1">
      <alignment readingOrder="0"/>
    </xf>
    <xf borderId="8" fillId="20" fontId="18" numFmtId="0" xfId="0" applyAlignment="1" applyBorder="1" applyFill="1" applyFont="1">
      <alignment horizontal="left" readingOrder="0" shrinkToFit="0" vertical="bottom" wrapText="0"/>
    </xf>
    <xf borderId="8" fillId="20" fontId="20" numFmtId="0" xfId="0" applyAlignment="1" applyBorder="1" applyFont="1">
      <alignment horizontal="left" readingOrder="0" shrinkToFit="0" vertical="bottom" wrapText="0"/>
    </xf>
    <xf borderId="8" fillId="17" fontId="14" numFmtId="0" xfId="0" applyAlignment="1" applyBorder="1" applyFont="1">
      <alignment horizontal="center" readingOrder="0" shrinkToFit="0" vertical="bottom" wrapText="1"/>
    </xf>
    <xf borderId="8" fillId="17" fontId="14" numFmtId="0" xfId="0" applyAlignment="1" applyBorder="1" applyFont="1">
      <alignment readingOrder="0" shrinkToFit="0" vertical="bottom" wrapText="1"/>
    </xf>
    <xf borderId="8" fillId="17" fontId="15" numFmtId="0" xfId="0" applyAlignment="1" applyBorder="1" applyFont="1">
      <alignment readingOrder="0" shrinkToFit="0" vertical="bottom" wrapText="1"/>
    </xf>
    <xf borderId="8" fillId="21" fontId="18" numFmtId="0" xfId="0" applyAlignment="1" applyBorder="1" applyFill="1" applyFont="1">
      <alignment horizontal="left" readingOrder="0" shrinkToFit="0" vertical="bottom" wrapText="0"/>
    </xf>
    <xf borderId="8" fillId="21" fontId="21" numFmtId="0" xfId="0" applyAlignment="1" applyBorder="1" applyFont="1">
      <alignment horizontal="left" readingOrder="0" shrinkToFit="0" vertical="bottom" wrapText="0"/>
    </xf>
    <xf borderId="8" fillId="22" fontId="14" numFmtId="0" xfId="0" applyAlignment="1" applyBorder="1" applyFill="1" applyFont="1">
      <alignment horizontal="center" readingOrder="0" shrinkToFit="0" vertical="bottom" wrapText="1"/>
    </xf>
    <xf borderId="8" fillId="22" fontId="14" numFmtId="0" xfId="0" applyAlignment="1" applyBorder="1" applyFont="1">
      <alignment shrinkToFit="0" vertical="bottom" wrapText="1"/>
    </xf>
    <xf borderId="8" fillId="22" fontId="15" numFmtId="0" xfId="0" applyAlignment="1" applyBorder="1" applyFont="1">
      <alignment shrinkToFit="0" vertical="bottom" wrapText="1"/>
    </xf>
    <xf borderId="8" fillId="22" fontId="15" numFmtId="0" xfId="0" applyAlignment="1" applyBorder="1" applyFont="1">
      <alignment horizontal="center" shrinkToFit="0" vertical="bottom" wrapText="1"/>
    </xf>
    <xf borderId="8" fillId="23" fontId="18" numFmtId="0" xfId="0" applyAlignment="1" applyBorder="1" applyFill="1" applyFont="1">
      <alignment horizontal="left" readingOrder="0" shrinkToFit="0" vertical="bottom" wrapText="0"/>
    </xf>
    <xf borderId="8" fillId="22" fontId="14" numFmtId="0" xfId="0" applyAlignment="1" applyBorder="1" applyFont="1">
      <alignment readingOrder="0" shrinkToFit="0" vertical="bottom" wrapText="1"/>
    </xf>
    <xf borderId="8" fillId="0" fontId="17" numFmtId="0" xfId="0" applyAlignment="1" applyBorder="1" applyFont="1">
      <alignment horizontal="left" shrinkToFit="0" vertical="bottom" wrapText="0"/>
    </xf>
    <xf borderId="8" fillId="24" fontId="18" numFmtId="0" xfId="0" applyAlignment="1" applyBorder="1" applyFill="1" applyFont="1">
      <alignment horizontal="left" readingOrder="0" shrinkToFit="0" vertical="bottom" wrapText="0"/>
    </xf>
    <xf borderId="8" fillId="25" fontId="18" numFmtId="0" xfId="0" applyAlignment="1" applyBorder="1" applyFill="1" applyFont="1">
      <alignment horizontal="left" readingOrder="0" shrinkToFit="0" vertical="bottom" wrapText="0"/>
    </xf>
    <xf borderId="8" fillId="2" fontId="18" numFmtId="0" xfId="0" applyAlignment="1" applyBorder="1" applyFont="1">
      <alignment horizontal="left" readingOrder="0" shrinkToFit="0" vertical="bottom" wrapText="0"/>
    </xf>
    <xf borderId="8" fillId="2" fontId="22" numFmtId="0" xfId="0" applyAlignment="1" applyBorder="1" applyFont="1">
      <alignment horizontal="left" readingOrder="0" shrinkToFit="0" vertical="bottom" wrapText="0"/>
    </xf>
    <xf borderId="8" fillId="26" fontId="18" numFmtId="0" xfId="0" applyAlignment="1" applyBorder="1" applyFill="1" applyFont="1">
      <alignment horizontal="left" readingOrder="0" shrinkToFit="0" vertical="bottom" wrapText="0"/>
    </xf>
    <xf borderId="5" fillId="27" fontId="11" numFmtId="0" xfId="0" applyAlignment="1" applyBorder="1" applyFill="1" applyFont="1">
      <alignment readingOrder="0" shrinkToFit="0" vertical="bottom" wrapText="1"/>
    </xf>
    <xf borderId="8" fillId="2" fontId="12" numFmtId="0" xfId="0" applyAlignment="1" applyBorder="1" applyFont="1">
      <alignment horizontal="center" shrinkToFit="0" vertical="bottom" wrapText="1"/>
    </xf>
    <xf borderId="8" fillId="17" fontId="23" numFmtId="0" xfId="0" applyAlignment="1" applyBorder="1" applyFont="1">
      <alignment horizontal="center" shrinkToFit="0" vertical="bottom" wrapText="1"/>
    </xf>
    <xf borderId="8" fillId="28" fontId="24" numFmtId="0" xfId="0" applyAlignment="1" applyBorder="1" applyFill="1" applyFont="1">
      <alignment horizontal="center" shrinkToFit="0" vertical="bottom" wrapText="1"/>
    </xf>
    <xf borderId="8" fillId="14" fontId="25" numFmtId="0" xfId="0" applyAlignment="1" applyBorder="1" applyFont="1">
      <alignment horizontal="center" shrinkToFit="0" vertical="bottom" wrapText="1"/>
    </xf>
    <xf borderId="8" fillId="29" fontId="26" numFmtId="0" xfId="0" applyAlignment="1" applyBorder="1" applyFill="1" applyFont="1">
      <alignment horizontal="center" shrinkToFit="0" vertical="bottom" wrapText="1"/>
    </xf>
    <xf borderId="8" fillId="22" fontId="14" numFmtId="0" xfId="0" applyAlignment="1" applyBorder="1" applyFont="1">
      <alignment horizontal="center" shrinkToFit="0" vertical="bottom" wrapText="1"/>
    </xf>
    <xf borderId="8" fillId="30" fontId="27" numFmtId="0" xfId="0" applyAlignment="1" applyBorder="1" applyFill="1" applyFont="1">
      <alignment horizontal="center" shrinkToFit="0" vertical="bottom" wrapText="1"/>
    </xf>
    <xf borderId="1" fillId="27" fontId="11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uiin.cric-colombia.org/login" TargetMode="External"/><Relationship Id="rId2" Type="http://schemas.openxmlformats.org/officeDocument/2006/relationships/hyperlink" Target="https://auth-suiin.cric-colombia.org/" TargetMode="External"/><Relationship Id="rId3" Type="http://schemas.openxmlformats.org/officeDocument/2006/relationships/hyperlink" Target="https://suiin.cric-colombia.org:9099/multimedia/" TargetMode="External"/><Relationship Id="rId4" Type="http://schemas.openxmlformats.org/officeDocument/2006/relationships/hyperlink" Target="https://sia.uaiinpebi-cric.edu.co/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44.0"/>
    <col customWidth="1" min="4" max="4" width="16.0"/>
    <col customWidth="1" min="5" max="5" width="26.0"/>
    <col customWidth="1" min="6" max="6" width="30.0"/>
    <col customWidth="1" min="7" max="7" width="22.0"/>
    <col customWidth="1" min="8" max="8" width="18.0"/>
    <col customWidth="1" min="9" max="9" width="28.0"/>
    <col customWidth="1" min="10" max="10" width="22.0"/>
    <col customWidth="1" min="11" max="11" width="24.0"/>
    <col customWidth="1" min="12" max="12" width="16.71"/>
    <col customWidth="1" min="13" max="13" width="14.0"/>
    <col customWidth="1" min="14" max="14" width="16.0"/>
    <col customWidth="1" min="15" max="15" width="12.0"/>
    <col customWidth="1" min="16" max="16" width="16.0"/>
    <col customWidth="1" min="17" max="17" width="38.0"/>
    <col customWidth="1" min="18" max="18" width="36.0"/>
    <col customWidth="1" min="19" max="19" width="14.0"/>
    <col customWidth="1" min="20" max="20" width="18.0"/>
    <col customWidth="1" min="21" max="21" width="48.0"/>
    <col customWidth="1" min="22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37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ht="51.75" customHeight="1">
      <c r="A3" s="5" t="s">
        <v>22</v>
      </c>
      <c r="B3" s="6" t="s">
        <v>23</v>
      </c>
      <c r="C3" s="7" t="s">
        <v>24</v>
      </c>
      <c r="D3" s="7" t="s">
        <v>25</v>
      </c>
      <c r="E3" s="7" t="s">
        <v>26</v>
      </c>
      <c r="F3" s="8" t="s">
        <v>27</v>
      </c>
      <c r="G3" s="7" t="s">
        <v>28</v>
      </c>
      <c r="H3" s="8" t="s">
        <v>29</v>
      </c>
      <c r="I3" s="7" t="s">
        <v>30</v>
      </c>
      <c r="J3" s="7" t="s">
        <v>31</v>
      </c>
      <c r="K3" s="9" t="s">
        <v>32</v>
      </c>
      <c r="L3" s="7" t="s">
        <v>33</v>
      </c>
      <c r="M3" s="7" t="s">
        <v>33</v>
      </c>
      <c r="N3" s="7" t="s">
        <v>33</v>
      </c>
      <c r="O3" s="10">
        <f t="shared" ref="O3:O8" si="1">VALUE(LEFT(L3,1))+VALUE(LEFT(M3,1))+VALUE(LEFT(N3,1))</f>
        <v>12</v>
      </c>
      <c r="P3" s="9" t="s">
        <v>34</v>
      </c>
      <c r="Q3" s="7" t="s">
        <v>35</v>
      </c>
      <c r="R3" s="7" t="s">
        <v>36</v>
      </c>
      <c r="S3" s="11" t="s">
        <v>37</v>
      </c>
      <c r="T3" s="7" t="s">
        <v>38</v>
      </c>
      <c r="U3" s="12" t="s">
        <v>39</v>
      </c>
    </row>
    <row r="4" ht="51.75" customHeight="1">
      <c r="A4" s="5" t="s">
        <v>40</v>
      </c>
      <c r="B4" s="5" t="s">
        <v>41</v>
      </c>
      <c r="C4" s="7" t="s">
        <v>42</v>
      </c>
      <c r="D4" s="7" t="s">
        <v>25</v>
      </c>
      <c r="E4" s="7" t="s">
        <v>43</v>
      </c>
      <c r="F4" s="8" t="s">
        <v>27</v>
      </c>
      <c r="G4" s="7" t="s">
        <v>44</v>
      </c>
      <c r="H4" s="8" t="s">
        <v>29</v>
      </c>
      <c r="I4" s="7" t="s">
        <v>45</v>
      </c>
      <c r="J4" s="7" t="s">
        <v>46</v>
      </c>
      <c r="K4" s="9" t="s">
        <v>32</v>
      </c>
      <c r="L4" s="7" t="s">
        <v>33</v>
      </c>
      <c r="M4" s="7" t="s">
        <v>33</v>
      </c>
      <c r="N4" s="7" t="s">
        <v>33</v>
      </c>
      <c r="O4" s="10">
        <f t="shared" si="1"/>
        <v>12</v>
      </c>
      <c r="P4" s="9" t="s">
        <v>34</v>
      </c>
      <c r="Q4" s="7" t="s">
        <v>47</v>
      </c>
      <c r="R4" s="7" t="s">
        <v>48</v>
      </c>
      <c r="S4" s="11" t="s">
        <v>37</v>
      </c>
      <c r="T4" s="7" t="s">
        <v>38</v>
      </c>
      <c r="U4" s="7" t="s">
        <v>49</v>
      </c>
    </row>
    <row r="5" ht="51.75" customHeight="1">
      <c r="A5" s="5" t="s">
        <v>50</v>
      </c>
      <c r="B5" s="5" t="s">
        <v>51</v>
      </c>
      <c r="C5" s="7" t="s">
        <v>52</v>
      </c>
      <c r="D5" s="7" t="s">
        <v>25</v>
      </c>
      <c r="E5" s="7" t="s">
        <v>26</v>
      </c>
      <c r="F5" s="8" t="s">
        <v>53</v>
      </c>
      <c r="G5" s="7" t="s">
        <v>54</v>
      </c>
      <c r="H5" s="8" t="s">
        <v>29</v>
      </c>
      <c r="I5" s="7" t="s">
        <v>55</v>
      </c>
      <c r="J5" s="7" t="s">
        <v>56</v>
      </c>
      <c r="K5" s="9" t="s">
        <v>32</v>
      </c>
      <c r="L5" s="7" t="s">
        <v>33</v>
      </c>
      <c r="M5" s="7" t="s">
        <v>33</v>
      </c>
      <c r="N5" s="7" t="s">
        <v>33</v>
      </c>
      <c r="O5" s="10">
        <f t="shared" si="1"/>
        <v>12</v>
      </c>
      <c r="P5" s="9" t="s">
        <v>34</v>
      </c>
      <c r="Q5" s="7" t="s">
        <v>57</v>
      </c>
      <c r="R5" s="7" t="s">
        <v>58</v>
      </c>
      <c r="S5" s="11" t="s">
        <v>37</v>
      </c>
      <c r="T5" s="7" t="s">
        <v>38</v>
      </c>
      <c r="U5" s="7" t="s">
        <v>59</v>
      </c>
    </row>
    <row r="6" ht="51.75" customHeight="1">
      <c r="A6" s="13" t="s">
        <v>60</v>
      </c>
      <c r="B6" s="13" t="s">
        <v>61</v>
      </c>
      <c r="C6" s="14" t="s">
        <v>62</v>
      </c>
      <c r="D6" s="14" t="s">
        <v>63</v>
      </c>
      <c r="E6" s="14" t="s">
        <v>64</v>
      </c>
      <c r="F6" s="14" t="s">
        <v>65</v>
      </c>
      <c r="G6" s="14" t="s">
        <v>66</v>
      </c>
      <c r="H6" s="14" t="s">
        <v>67</v>
      </c>
      <c r="I6" s="14" t="s">
        <v>68</v>
      </c>
      <c r="J6" s="14" t="s">
        <v>69</v>
      </c>
      <c r="K6" s="9" t="s">
        <v>32</v>
      </c>
      <c r="L6" s="14" t="s">
        <v>33</v>
      </c>
      <c r="M6" s="14" t="s">
        <v>33</v>
      </c>
      <c r="N6" s="14" t="s">
        <v>33</v>
      </c>
      <c r="O6" s="15">
        <f t="shared" si="1"/>
        <v>12</v>
      </c>
      <c r="P6" s="9" t="s">
        <v>34</v>
      </c>
      <c r="Q6" s="14" t="s">
        <v>70</v>
      </c>
      <c r="R6" s="14" t="s">
        <v>71</v>
      </c>
      <c r="S6" s="11" t="s">
        <v>37</v>
      </c>
      <c r="T6" s="14" t="s">
        <v>38</v>
      </c>
      <c r="U6" s="14" t="s">
        <v>72</v>
      </c>
    </row>
    <row r="7" ht="51.75" customHeight="1">
      <c r="A7" s="5" t="s">
        <v>73</v>
      </c>
      <c r="B7" s="5" t="s">
        <v>74</v>
      </c>
      <c r="C7" s="7" t="s">
        <v>75</v>
      </c>
      <c r="D7" s="7" t="s">
        <v>25</v>
      </c>
      <c r="E7" s="7" t="s">
        <v>76</v>
      </c>
      <c r="F7" s="8" t="s">
        <v>77</v>
      </c>
      <c r="G7" s="8" t="s">
        <v>78</v>
      </c>
      <c r="H7" s="8" t="s">
        <v>29</v>
      </c>
      <c r="I7" s="7" t="s">
        <v>79</v>
      </c>
      <c r="J7" s="7" t="s">
        <v>80</v>
      </c>
      <c r="K7" s="9" t="s">
        <v>32</v>
      </c>
      <c r="L7" s="7" t="s">
        <v>33</v>
      </c>
      <c r="M7" s="7" t="s">
        <v>33</v>
      </c>
      <c r="N7" s="7" t="s">
        <v>33</v>
      </c>
      <c r="O7" s="10">
        <f t="shared" si="1"/>
        <v>12</v>
      </c>
      <c r="P7" s="9" t="s">
        <v>34</v>
      </c>
      <c r="Q7" s="7" t="s">
        <v>81</v>
      </c>
      <c r="R7" s="7" t="s">
        <v>82</v>
      </c>
      <c r="S7" s="11" t="s">
        <v>37</v>
      </c>
      <c r="T7" s="7" t="s">
        <v>38</v>
      </c>
      <c r="U7" s="12" t="s">
        <v>83</v>
      </c>
    </row>
    <row r="8" ht="51.75" customHeight="1">
      <c r="A8" s="5" t="s">
        <v>84</v>
      </c>
      <c r="B8" s="5" t="s">
        <v>85</v>
      </c>
      <c r="C8" s="7" t="s">
        <v>86</v>
      </c>
      <c r="D8" s="7" t="s">
        <v>25</v>
      </c>
      <c r="E8" s="7" t="s">
        <v>87</v>
      </c>
      <c r="F8" s="8" t="s">
        <v>77</v>
      </c>
      <c r="G8" s="8" t="s">
        <v>66</v>
      </c>
      <c r="H8" s="8" t="s">
        <v>29</v>
      </c>
      <c r="I8" s="7" t="s">
        <v>88</v>
      </c>
      <c r="J8" s="7" t="s">
        <v>89</v>
      </c>
      <c r="K8" s="9" t="s">
        <v>32</v>
      </c>
      <c r="L8" s="7" t="s">
        <v>33</v>
      </c>
      <c r="M8" s="7" t="s">
        <v>33</v>
      </c>
      <c r="N8" s="7" t="s">
        <v>33</v>
      </c>
      <c r="O8" s="10">
        <f t="shared" si="1"/>
        <v>12</v>
      </c>
      <c r="P8" s="9" t="s">
        <v>34</v>
      </c>
      <c r="Q8" s="7" t="s">
        <v>90</v>
      </c>
      <c r="R8" s="7" t="s">
        <v>91</v>
      </c>
      <c r="S8" s="11" t="s">
        <v>37</v>
      </c>
      <c r="T8" s="7" t="s">
        <v>38</v>
      </c>
      <c r="U8" s="12" t="s">
        <v>92</v>
      </c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7"/>
      <c r="L9" s="17"/>
      <c r="M9" s="17"/>
      <c r="N9" s="17"/>
      <c r="O9" s="16"/>
      <c r="P9" s="17"/>
      <c r="Q9" s="16"/>
      <c r="R9" s="16"/>
      <c r="S9" s="17"/>
      <c r="T9" s="16"/>
      <c r="U9" s="16"/>
    </row>
    <row r="10" ht="51.75" customHeight="1">
      <c r="A10" s="5" t="s">
        <v>93</v>
      </c>
      <c r="B10" s="5" t="s">
        <v>94</v>
      </c>
      <c r="C10" s="7" t="s">
        <v>95</v>
      </c>
      <c r="D10" s="7" t="s">
        <v>25</v>
      </c>
      <c r="E10" s="7" t="s">
        <v>96</v>
      </c>
      <c r="F10" s="8" t="s">
        <v>97</v>
      </c>
      <c r="G10" s="7" t="s">
        <v>98</v>
      </c>
      <c r="H10" s="8" t="s">
        <v>29</v>
      </c>
      <c r="I10" s="7" t="s">
        <v>99</v>
      </c>
      <c r="J10" s="7" t="s">
        <v>100</v>
      </c>
      <c r="K10" s="9" t="s">
        <v>32</v>
      </c>
      <c r="L10" s="7" t="s">
        <v>33</v>
      </c>
      <c r="M10" s="7" t="s">
        <v>33</v>
      </c>
      <c r="N10" s="7" t="s">
        <v>33</v>
      </c>
      <c r="O10" s="10">
        <f>VALUE(LEFT(L10,1))+VALUE(LEFT(M10,1))+VALUE(LEFT(N10,1))</f>
        <v>12</v>
      </c>
      <c r="P10" s="9" t="s">
        <v>34</v>
      </c>
      <c r="Q10" s="7" t="s">
        <v>101</v>
      </c>
      <c r="R10" s="7" t="s">
        <v>102</v>
      </c>
      <c r="S10" s="11" t="s">
        <v>37</v>
      </c>
      <c r="T10" s="7" t="s">
        <v>38</v>
      </c>
      <c r="U10" s="12" t="s">
        <v>103</v>
      </c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7"/>
      <c r="L11" s="17"/>
      <c r="M11" s="17"/>
      <c r="N11" s="17"/>
      <c r="O11" s="16"/>
      <c r="P11" s="17"/>
      <c r="Q11" s="16"/>
      <c r="R11" s="16"/>
      <c r="S11" s="17"/>
      <c r="T11" s="16"/>
      <c r="U11" s="16"/>
    </row>
    <row r="12" ht="15.75" customHeight="1">
      <c r="K12" s="18"/>
      <c r="L12" s="18"/>
      <c r="M12" s="18"/>
      <c r="N12" s="18"/>
      <c r="P12" s="18"/>
      <c r="S12" s="18"/>
    </row>
    <row r="13" ht="15.75" customHeight="1">
      <c r="K13" s="18"/>
      <c r="L13" s="18"/>
      <c r="M13" s="18"/>
      <c r="N13" s="18"/>
      <c r="P13" s="18"/>
      <c r="S13" s="18"/>
    </row>
    <row r="14" ht="15.75" customHeight="1">
      <c r="K14" s="18"/>
      <c r="L14" s="18"/>
      <c r="M14" s="18"/>
      <c r="N14" s="18"/>
      <c r="P14" s="18"/>
      <c r="S14" s="18"/>
    </row>
    <row r="15" ht="15.75" customHeight="1">
      <c r="K15" s="18"/>
      <c r="L15" s="18"/>
      <c r="M15" s="18"/>
      <c r="N15" s="18"/>
      <c r="P15" s="18"/>
      <c r="S15" s="18"/>
    </row>
    <row r="16" ht="15.75" customHeight="1">
      <c r="K16" s="18"/>
      <c r="L16" s="18"/>
      <c r="M16" s="18"/>
      <c r="N16" s="18"/>
      <c r="P16" s="18"/>
      <c r="S16" s="18"/>
    </row>
    <row r="17" ht="15.75" customHeight="1">
      <c r="K17" s="18"/>
      <c r="L17" s="18"/>
      <c r="M17" s="18"/>
      <c r="N17" s="18"/>
      <c r="P17" s="18"/>
      <c r="S17" s="18"/>
    </row>
    <row r="18" ht="15.75" customHeight="1">
      <c r="K18" s="18"/>
      <c r="L18" s="18"/>
      <c r="M18" s="18"/>
      <c r="N18" s="18"/>
      <c r="P18" s="18"/>
      <c r="S18" s="18"/>
    </row>
    <row r="19" ht="15.75" customHeight="1">
      <c r="K19" s="18"/>
      <c r="L19" s="18"/>
      <c r="M19" s="18"/>
      <c r="N19" s="18"/>
      <c r="P19" s="18"/>
      <c r="S19" s="18"/>
    </row>
    <row r="20" ht="15.75" customHeight="1">
      <c r="K20" s="18"/>
      <c r="L20" s="18"/>
      <c r="M20" s="18"/>
      <c r="N20" s="18"/>
      <c r="P20" s="18"/>
      <c r="S20" s="18"/>
    </row>
    <row r="21" ht="15.75" customHeight="1">
      <c r="K21" s="18"/>
      <c r="L21" s="18"/>
      <c r="M21" s="18"/>
      <c r="N21" s="18"/>
      <c r="P21" s="18"/>
      <c r="S21" s="18"/>
    </row>
    <row r="22" ht="15.75" customHeight="1">
      <c r="K22" s="18"/>
      <c r="L22" s="18"/>
      <c r="M22" s="18"/>
      <c r="N22" s="18"/>
      <c r="P22" s="18"/>
      <c r="S22" s="18"/>
    </row>
    <row r="23" ht="15.75" customHeight="1">
      <c r="K23" s="18"/>
      <c r="L23" s="18"/>
      <c r="M23" s="18"/>
      <c r="N23" s="18"/>
      <c r="P23" s="18"/>
      <c r="S23" s="18"/>
    </row>
    <row r="24" ht="15.75" customHeight="1">
      <c r="K24" s="18"/>
      <c r="L24" s="18"/>
      <c r="M24" s="18"/>
      <c r="N24" s="18"/>
      <c r="P24" s="18"/>
      <c r="S24" s="18"/>
    </row>
    <row r="25" ht="15.75" customHeight="1">
      <c r="K25" s="18"/>
      <c r="L25" s="18"/>
      <c r="M25" s="18"/>
      <c r="N25" s="18"/>
      <c r="P25" s="18"/>
      <c r="S25" s="18"/>
    </row>
    <row r="26" ht="15.75" customHeight="1">
      <c r="K26" s="18"/>
      <c r="L26" s="18"/>
      <c r="M26" s="18"/>
      <c r="N26" s="18"/>
      <c r="P26" s="18"/>
      <c r="S26" s="18"/>
    </row>
    <row r="27" ht="15.75" customHeight="1">
      <c r="K27" s="18"/>
      <c r="L27" s="18"/>
      <c r="M27" s="18"/>
      <c r="N27" s="18"/>
      <c r="P27" s="18"/>
      <c r="S27" s="18"/>
    </row>
    <row r="28" ht="15.75" customHeight="1">
      <c r="K28" s="18"/>
      <c r="L28" s="18"/>
      <c r="M28" s="18"/>
      <c r="N28" s="18"/>
      <c r="P28" s="18"/>
      <c r="S28" s="18"/>
    </row>
    <row r="29" ht="15.75" customHeight="1">
      <c r="K29" s="18"/>
      <c r="L29" s="18"/>
      <c r="M29" s="18"/>
      <c r="N29" s="18"/>
      <c r="P29" s="18"/>
      <c r="S29" s="18"/>
    </row>
    <row r="30" ht="15.75" customHeight="1">
      <c r="K30" s="18"/>
      <c r="L30" s="18"/>
      <c r="M30" s="18"/>
      <c r="N30" s="18"/>
      <c r="P30" s="18"/>
      <c r="S30" s="18"/>
    </row>
    <row r="31" ht="15.75" customHeight="1">
      <c r="K31" s="18"/>
      <c r="L31" s="18"/>
      <c r="M31" s="18"/>
      <c r="N31" s="18"/>
      <c r="P31" s="18"/>
      <c r="S31" s="18"/>
    </row>
    <row r="32" ht="15.75" customHeight="1">
      <c r="K32" s="18"/>
      <c r="L32" s="18"/>
      <c r="M32" s="18"/>
      <c r="N32" s="18"/>
      <c r="P32" s="18"/>
      <c r="S32" s="1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A1:U1"/>
  </mergeCells>
  <dataValidations>
    <dataValidation type="list" allowBlank="1" showErrorMessage="1" sqref="D3:D8 D10">
      <formula1>"Hardware,Software"</formula1>
    </dataValidation>
    <dataValidation type="list" allowBlank="1" showErrorMessage="1" sqref="L3:L8 L10">
      <formula1>"4 - Crítico,3 - Alto"</formula1>
    </dataValidation>
    <dataValidation type="list" allowBlank="1" showErrorMessage="1" sqref="P3:P8 P10">
      <formula1>"Crítico,Alto"</formula1>
    </dataValidation>
    <dataValidation type="list" allowBlank="1" showErrorMessage="1" sqref="N3:N8 N10">
      <formula1>"4 - Crítico,3 - Alto"</formula1>
    </dataValidation>
    <dataValidation type="list" allowBlank="1" showErrorMessage="1" sqref="M3:M8 M10">
      <formula1>"4 - Crítico,3 - Alto,2 - Medio"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44.0"/>
    <col customWidth="1" min="4" max="4" width="16.0"/>
    <col customWidth="1" min="5" max="5" width="26.0"/>
    <col customWidth="1" min="6" max="6" width="30.0"/>
    <col customWidth="1" min="7" max="7" width="22.0"/>
    <col customWidth="1" min="8" max="8" width="18.0"/>
    <col customWidth="1" min="9" max="9" width="28.0"/>
    <col customWidth="1" min="10" max="10" width="22.0"/>
    <col customWidth="1" min="11" max="11" width="24.0"/>
    <col customWidth="1" min="12" max="12" width="16.0"/>
    <col customWidth="1" min="13" max="13" width="14.0"/>
    <col customWidth="1" min="14" max="14" width="16.0"/>
    <col customWidth="1" min="15" max="15" width="12.0"/>
    <col customWidth="1" min="16" max="16" width="16.0"/>
    <col customWidth="1" min="17" max="17" width="38.0"/>
    <col customWidth="1" min="18" max="18" width="36.0"/>
    <col customWidth="1" min="19" max="19" width="14.0"/>
    <col customWidth="1" min="20" max="20" width="18.0"/>
    <col customWidth="1" min="21" max="21" width="48.0"/>
    <col customWidth="1" min="22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37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ht="51.75" customHeight="1">
      <c r="A3" s="19" t="s">
        <v>104</v>
      </c>
      <c r="B3" s="19" t="s">
        <v>105</v>
      </c>
      <c r="C3" s="20" t="s">
        <v>106</v>
      </c>
      <c r="D3" s="20" t="s">
        <v>25</v>
      </c>
      <c r="E3" s="20" t="s">
        <v>107</v>
      </c>
      <c r="F3" s="20" t="s">
        <v>108</v>
      </c>
      <c r="G3" s="20" t="s">
        <v>109</v>
      </c>
      <c r="H3" s="20" t="s">
        <v>67</v>
      </c>
      <c r="I3" s="20" t="s">
        <v>110</v>
      </c>
      <c r="J3" s="20" t="s">
        <v>100</v>
      </c>
      <c r="K3" s="9" t="s">
        <v>32</v>
      </c>
      <c r="L3" s="20" t="s">
        <v>33</v>
      </c>
      <c r="M3" s="20" t="s">
        <v>33</v>
      </c>
      <c r="N3" s="20" t="s">
        <v>33</v>
      </c>
      <c r="O3" s="21">
        <f t="shared" ref="O3:O14" si="1">VALUE(LEFT(L3,1))+VALUE(LEFT(M3,1))+VALUE(LEFT(N3,1))</f>
        <v>12</v>
      </c>
      <c r="P3" s="9" t="s">
        <v>34</v>
      </c>
      <c r="Q3" s="20" t="s">
        <v>111</v>
      </c>
      <c r="R3" s="20" t="s">
        <v>112</v>
      </c>
      <c r="S3" s="11" t="s">
        <v>37</v>
      </c>
      <c r="T3" s="20" t="s">
        <v>38</v>
      </c>
      <c r="U3" s="20" t="s">
        <v>113</v>
      </c>
    </row>
    <row r="4" ht="51.75" customHeight="1">
      <c r="A4" s="19" t="s">
        <v>114</v>
      </c>
      <c r="B4" s="19" t="s">
        <v>115</v>
      </c>
      <c r="C4" s="20" t="s">
        <v>116</v>
      </c>
      <c r="D4" s="20" t="s">
        <v>25</v>
      </c>
      <c r="E4" s="20" t="s">
        <v>107</v>
      </c>
      <c r="F4" s="20" t="s">
        <v>108</v>
      </c>
      <c r="G4" s="20" t="s">
        <v>98</v>
      </c>
      <c r="H4" s="20" t="s">
        <v>67</v>
      </c>
      <c r="I4" s="20" t="s">
        <v>117</v>
      </c>
      <c r="J4" s="20" t="s">
        <v>100</v>
      </c>
      <c r="K4" s="9" t="s">
        <v>32</v>
      </c>
      <c r="L4" s="20" t="s">
        <v>33</v>
      </c>
      <c r="M4" s="20" t="s">
        <v>33</v>
      </c>
      <c r="N4" s="20" t="s">
        <v>33</v>
      </c>
      <c r="O4" s="21">
        <f t="shared" si="1"/>
        <v>12</v>
      </c>
      <c r="P4" s="9" t="s">
        <v>34</v>
      </c>
      <c r="Q4" s="20" t="s">
        <v>118</v>
      </c>
      <c r="R4" s="20" t="s">
        <v>119</v>
      </c>
      <c r="S4" s="11" t="s">
        <v>37</v>
      </c>
      <c r="T4" s="20" t="s">
        <v>38</v>
      </c>
      <c r="U4" s="20" t="s">
        <v>120</v>
      </c>
    </row>
    <row r="5" ht="51.75" customHeight="1">
      <c r="A5" s="22" t="s">
        <v>121</v>
      </c>
      <c r="B5" s="22" t="s">
        <v>122</v>
      </c>
      <c r="C5" s="23" t="s">
        <v>123</v>
      </c>
      <c r="D5" s="23" t="s">
        <v>25</v>
      </c>
      <c r="E5" s="23" t="s">
        <v>124</v>
      </c>
      <c r="F5" s="23" t="s">
        <v>125</v>
      </c>
      <c r="G5" s="23" t="s">
        <v>126</v>
      </c>
      <c r="H5" s="23" t="s">
        <v>127</v>
      </c>
      <c r="I5" s="23" t="s">
        <v>128</v>
      </c>
      <c r="J5" s="23" t="s">
        <v>129</v>
      </c>
      <c r="K5" s="9" t="s">
        <v>32</v>
      </c>
      <c r="L5" s="23" t="s">
        <v>33</v>
      </c>
      <c r="M5" s="23" t="s">
        <v>33</v>
      </c>
      <c r="N5" s="23" t="s">
        <v>33</v>
      </c>
      <c r="O5" s="24">
        <f t="shared" si="1"/>
        <v>12</v>
      </c>
      <c r="P5" s="9" t="s">
        <v>34</v>
      </c>
      <c r="Q5" s="23" t="s">
        <v>130</v>
      </c>
      <c r="R5" s="23" t="s">
        <v>131</v>
      </c>
      <c r="S5" s="11" t="s">
        <v>37</v>
      </c>
      <c r="T5" s="23" t="s">
        <v>38</v>
      </c>
      <c r="U5" s="23" t="s">
        <v>132</v>
      </c>
    </row>
    <row r="6" ht="51.75" customHeight="1">
      <c r="A6" s="25" t="s">
        <v>133</v>
      </c>
      <c r="B6" s="25" t="s">
        <v>134</v>
      </c>
      <c r="C6" s="26" t="s">
        <v>135</v>
      </c>
      <c r="D6" s="26" t="s">
        <v>25</v>
      </c>
      <c r="E6" s="26" t="s">
        <v>124</v>
      </c>
      <c r="F6" s="26" t="s">
        <v>136</v>
      </c>
      <c r="G6" s="26" t="s">
        <v>137</v>
      </c>
      <c r="H6" s="26" t="s">
        <v>138</v>
      </c>
      <c r="I6" s="26" t="s">
        <v>128</v>
      </c>
      <c r="J6" s="26" t="s">
        <v>100</v>
      </c>
      <c r="K6" s="9" t="s">
        <v>32</v>
      </c>
      <c r="L6" s="26" t="s">
        <v>33</v>
      </c>
      <c r="M6" s="26" t="s">
        <v>33</v>
      </c>
      <c r="N6" s="26" t="s">
        <v>139</v>
      </c>
      <c r="O6" s="27">
        <f t="shared" si="1"/>
        <v>11</v>
      </c>
      <c r="P6" s="9" t="s">
        <v>34</v>
      </c>
      <c r="Q6" s="26" t="s">
        <v>140</v>
      </c>
      <c r="R6" s="26" t="s">
        <v>141</v>
      </c>
      <c r="S6" s="11" t="s">
        <v>37</v>
      </c>
      <c r="T6" s="26" t="s">
        <v>38</v>
      </c>
      <c r="U6" s="26" t="s">
        <v>142</v>
      </c>
    </row>
    <row r="7" ht="51.75" customHeight="1">
      <c r="A7" s="25" t="s">
        <v>143</v>
      </c>
      <c r="B7" s="25" t="s">
        <v>144</v>
      </c>
      <c r="C7" s="26" t="s">
        <v>145</v>
      </c>
      <c r="D7" s="26" t="s">
        <v>25</v>
      </c>
      <c r="E7" s="26" t="s">
        <v>124</v>
      </c>
      <c r="F7" s="26" t="s">
        <v>136</v>
      </c>
      <c r="G7" s="26" t="s">
        <v>146</v>
      </c>
      <c r="H7" s="26" t="s">
        <v>138</v>
      </c>
      <c r="I7" s="26" t="s">
        <v>147</v>
      </c>
      <c r="J7" s="26" t="s">
        <v>100</v>
      </c>
      <c r="K7" s="28" t="s">
        <v>148</v>
      </c>
      <c r="L7" s="26" t="s">
        <v>139</v>
      </c>
      <c r="M7" s="26" t="s">
        <v>139</v>
      </c>
      <c r="N7" s="26" t="s">
        <v>139</v>
      </c>
      <c r="O7" s="27">
        <f t="shared" si="1"/>
        <v>9</v>
      </c>
      <c r="P7" s="28" t="s">
        <v>149</v>
      </c>
      <c r="Q7" s="26" t="s">
        <v>140</v>
      </c>
      <c r="R7" s="26" t="s">
        <v>150</v>
      </c>
      <c r="S7" s="11" t="s">
        <v>37</v>
      </c>
      <c r="T7" s="26" t="s">
        <v>38</v>
      </c>
      <c r="U7" s="26" t="s">
        <v>151</v>
      </c>
    </row>
    <row r="8" ht="51.75" customHeight="1">
      <c r="A8" s="22" t="s">
        <v>152</v>
      </c>
      <c r="B8" s="22" t="s">
        <v>153</v>
      </c>
      <c r="C8" s="23" t="s">
        <v>154</v>
      </c>
      <c r="D8" s="23" t="s">
        <v>25</v>
      </c>
      <c r="E8" s="23" t="s">
        <v>124</v>
      </c>
      <c r="F8" s="23" t="s">
        <v>155</v>
      </c>
      <c r="G8" s="23" t="s">
        <v>137</v>
      </c>
      <c r="H8" s="23" t="s">
        <v>67</v>
      </c>
      <c r="I8" s="23" t="s">
        <v>156</v>
      </c>
      <c r="J8" s="23" t="s">
        <v>100</v>
      </c>
      <c r="K8" s="28" t="s">
        <v>148</v>
      </c>
      <c r="L8" s="23" t="s">
        <v>139</v>
      </c>
      <c r="M8" s="23" t="s">
        <v>139</v>
      </c>
      <c r="N8" s="23" t="s">
        <v>139</v>
      </c>
      <c r="O8" s="24">
        <f t="shared" si="1"/>
        <v>9</v>
      </c>
      <c r="P8" s="28" t="s">
        <v>149</v>
      </c>
      <c r="Q8" s="23" t="s">
        <v>157</v>
      </c>
      <c r="R8" s="23" t="s">
        <v>150</v>
      </c>
      <c r="S8" s="11" t="s">
        <v>37</v>
      </c>
      <c r="T8" s="23" t="s">
        <v>38</v>
      </c>
      <c r="U8" s="23" t="s">
        <v>158</v>
      </c>
    </row>
    <row r="9" ht="51.75" customHeight="1">
      <c r="A9" s="25" t="s">
        <v>159</v>
      </c>
      <c r="B9" s="25" t="s">
        <v>160</v>
      </c>
      <c r="C9" s="26" t="s">
        <v>161</v>
      </c>
      <c r="D9" s="26" t="s">
        <v>25</v>
      </c>
      <c r="E9" s="26" t="s">
        <v>124</v>
      </c>
      <c r="F9" s="26" t="s">
        <v>162</v>
      </c>
      <c r="G9" s="26" t="s">
        <v>163</v>
      </c>
      <c r="H9" s="26" t="s">
        <v>164</v>
      </c>
      <c r="I9" s="26" t="s">
        <v>147</v>
      </c>
      <c r="J9" s="26" t="s">
        <v>100</v>
      </c>
      <c r="K9" s="28" t="s">
        <v>148</v>
      </c>
      <c r="L9" s="26" t="s">
        <v>139</v>
      </c>
      <c r="M9" s="26" t="s">
        <v>139</v>
      </c>
      <c r="N9" s="26" t="s">
        <v>139</v>
      </c>
      <c r="O9" s="27">
        <f t="shared" si="1"/>
        <v>9</v>
      </c>
      <c r="P9" s="28" t="s">
        <v>149</v>
      </c>
      <c r="Q9" s="26" t="s">
        <v>140</v>
      </c>
      <c r="R9" s="26" t="s">
        <v>141</v>
      </c>
      <c r="S9" s="11" t="s">
        <v>37</v>
      </c>
      <c r="T9" s="26" t="s">
        <v>38</v>
      </c>
      <c r="U9" s="26" t="s">
        <v>165</v>
      </c>
    </row>
    <row r="10" ht="51.75" customHeight="1">
      <c r="A10" s="29" t="s">
        <v>166</v>
      </c>
      <c r="B10" s="29" t="s">
        <v>167</v>
      </c>
      <c r="C10" s="30" t="s">
        <v>168</v>
      </c>
      <c r="D10" s="30" t="s">
        <v>25</v>
      </c>
      <c r="E10" s="30" t="s">
        <v>169</v>
      </c>
      <c r="F10" s="30" t="s">
        <v>170</v>
      </c>
      <c r="G10" s="30" t="s">
        <v>171</v>
      </c>
      <c r="H10" s="30" t="s">
        <v>67</v>
      </c>
      <c r="I10" s="30" t="s">
        <v>172</v>
      </c>
      <c r="J10" s="30" t="s">
        <v>100</v>
      </c>
      <c r="K10" s="28" t="s">
        <v>148</v>
      </c>
      <c r="L10" s="30" t="s">
        <v>139</v>
      </c>
      <c r="M10" s="30" t="s">
        <v>139</v>
      </c>
      <c r="N10" s="30" t="s">
        <v>139</v>
      </c>
      <c r="O10" s="31">
        <f t="shared" si="1"/>
        <v>9</v>
      </c>
      <c r="P10" s="28" t="s">
        <v>149</v>
      </c>
      <c r="Q10" s="30" t="s">
        <v>173</v>
      </c>
      <c r="R10" s="30" t="s">
        <v>174</v>
      </c>
      <c r="S10" s="11" t="s">
        <v>37</v>
      </c>
      <c r="T10" s="30" t="s">
        <v>38</v>
      </c>
      <c r="U10" s="30" t="s">
        <v>175</v>
      </c>
    </row>
    <row r="11" ht="51.75" customHeight="1">
      <c r="A11" s="29" t="s">
        <v>176</v>
      </c>
      <c r="B11" s="29" t="s">
        <v>177</v>
      </c>
      <c r="C11" s="30" t="s">
        <v>178</v>
      </c>
      <c r="D11" s="30" t="s">
        <v>25</v>
      </c>
      <c r="E11" s="30" t="s">
        <v>169</v>
      </c>
      <c r="F11" s="30" t="s">
        <v>179</v>
      </c>
      <c r="G11" s="30" t="s">
        <v>180</v>
      </c>
      <c r="H11" s="30" t="s">
        <v>138</v>
      </c>
      <c r="I11" s="30" t="s">
        <v>172</v>
      </c>
      <c r="J11" s="30" t="s">
        <v>100</v>
      </c>
      <c r="K11" s="28" t="s">
        <v>148</v>
      </c>
      <c r="L11" s="30" t="s">
        <v>139</v>
      </c>
      <c r="M11" s="30" t="s">
        <v>181</v>
      </c>
      <c r="N11" s="30" t="s">
        <v>139</v>
      </c>
      <c r="O11" s="31">
        <f t="shared" si="1"/>
        <v>8</v>
      </c>
      <c r="P11" s="28" t="s">
        <v>149</v>
      </c>
      <c r="Q11" s="30" t="s">
        <v>182</v>
      </c>
      <c r="R11" s="30" t="s">
        <v>183</v>
      </c>
      <c r="S11" s="11" t="s">
        <v>37</v>
      </c>
      <c r="T11" s="30" t="s">
        <v>38</v>
      </c>
      <c r="U11" s="30" t="s">
        <v>184</v>
      </c>
    </row>
    <row r="12" ht="51.75" customHeight="1">
      <c r="A12" s="29" t="s">
        <v>185</v>
      </c>
      <c r="B12" s="29" t="s">
        <v>186</v>
      </c>
      <c r="C12" s="30" t="s">
        <v>187</v>
      </c>
      <c r="D12" s="30" t="s">
        <v>25</v>
      </c>
      <c r="E12" s="30" t="s">
        <v>169</v>
      </c>
      <c r="F12" s="30" t="s">
        <v>188</v>
      </c>
      <c r="G12" s="30" t="s">
        <v>189</v>
      </c>
      <c r="H12" s="30" t="s">
        <v>164</v>
      </c>
      <c r="I12" s="30" t="s">
        <v>172</v>
      </c>
      <c r="J12" s="30" t="s">
        <v>100</v>
      </c>
      <c r="K12" s="28" t="s">
        <v>148</v>
      </c>
      <c r="L12" s="30" t="s">
        <v>139</v>
      </c>
      <c r="M12" s="30" t="s">
        <v>181</v>
      </c>
      <c r="N12" s="30" t="s">
        <v>139</v>
      </c>
      <c r="O12" s="31">
        <f t="shared" si="1"/>
        <v>8</v>
      </c>
      <c r="P12" s="28" t="s">
        <v>149</v>
      </c>
      <c r="Q12" s="30" t="s">
        <v>182</v>
      </c>
      <c r="R12" s="30" t="s">
        <v>183</v>
      </c>
      <c r="S12" s="11" t="s">
        <v>37</v>
      </c>
      <c r="T12" s="30" t="s">
        <v>38</v>
      </c>
      <c r="U12" s="30" t="s">
        <v>190</v>
      </c>
    </row>
    <row r="13" ht="51.75" customHeight="1">
      <c r="A13" s="32" t="s">
        <v>191</v>
      </c>
      <c r="B13" s="32" t="s">
        <v>192</v>
      </c>
      <c r="C13" s="33" t="s">
        <v>193</v>
      </c>
      <c r="D13" s="33" t="s">
        <v>25</v>
      </c>
      <c r="E13" s="33" t="s">
        <v>194</v>
      </c>
      <c r="F13" s="33" t="s">
        <v>195</v>
      </c>
      <c r="G13" s="33" t="s">
        <v>196</v>
      </c>
      <c r="H13" s="33" t="s">
        <v>67</v>
      </c>
      <c r="I13" s="33" t="s">
        <v>197</v>
      </c>
      <c r="J13" s="33" t="s">
        <v>100</v>
      </c>
      <c r="K13" s="28" t="s">
        <v>148</v>
      </c>
      <c r="L13" s="33" t="s">
        <v>139</v>
      </c>
      <c r="M13" s="33" t="s">
        <v>139</v>
      </c>
      <c r="N13" s="33" t="s">
        <v>139</v>
      </c>
      <c r="O13" s="34">
        <f t="shared" si="1"/>
        <v>9</v>
      </c>
      <c r="P13" s="28" t="s">
        <v>149</v>
      </c>
      <c r="Q13" s="33" t="s">
        <v>198</v>
      </c>
      <c r="R13" s="33" t="s">
        <v>199</v>
      </c>
      <c r="S13" s="11" t="s">
        <v>37</v>
      </c>
      <c r="T13" s="33" t="s">
        <v>38</v>
      </c>
      <c r="U13" s="12" t="s">
        <v>200</v>
      </c>
    </row>
    <row r="14" ht="51.75" customHeight="1">
      <c r="A14" s="32" t="s">
        <v>201</v>
      </c>
      <c r="B14" s="32" t="s">
        <v>202</v>
      </c>
      <c r="C14" s="33" t="s">
        <v>203</v>
      </c>
      <c r="D14" s="33" t="s">
        <v>25</v>
      </c>
      <c r="E14" s="33" t="s">
        <v>194</v>
      </c>
      <c r="F14" s="33" t="s">
        <v>195</v>
      </c>
      <c r="G14" s="33" t="s">
        <v>204</v>
      </c>
      <c r="H14" s="33" t="s">
        <v>67</v>
      </c>
      <c r="I14" s="33" t="s">
        <v>205</v>
      </c>
      <c r="J14" s="33" t="s">
        <v>100</v>
      </c>
      <c r="K14" s="28" t="s">
        <v>148</v>
      </c>
      <c r="L14" s="33" t="s">
        <v>139</v>
      </c>
      <c r="M14" s="33" t="s">
        <v>139</v>
      </c>
      <c r="N14" s="33" t="s">
        <v>139</v>
      </c>
      <c r="O14" s="34">
        <f t="shared" si="1"/>
        <v>9</v>
      </c>
      <c r="P14" s="28" t="s">
        <v>149</v>
      </c>
      <c r="Q14" s="33" t="s">
        <v>206</v>
      </c>
      <c r="R14" s="33" t="s">
        <v>199</v>
      </c>
      <c r="S14" s="11" t="s">
        <v>37</v>
      </c>
      <c r="T14" s="33" t="s">
        <v>38</v>
      </c>
      <c r="U14" s="12" t="s">
        <v>207</v>
      </c>
    </row>
    <row r="15" ht="15.75" customHeight="1">
      <c r="K15" s="18"/>
      <c r="L15" s="18"/>
      <c r="M15" s="18"/>
      <c r="N15" s="18"/>
      <c r="P15" s="18"/>
      <c r="S15" s="18"/>
    </row>
    <row r="16" ht="27.75" customHeight="1">
      <c r="A16" s="35" t="s">
        <v>208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</row>
    <row r="17" ht="15.75" customHeight="1">
      <c r="K17" s="18"/>
      <c r="L17" s="18"/>
      <c r="M17" s="18"/>
      <c r="N17" s="18"/>
      <c r="P17" s="18"/>
      <c r="S17" s="18"/>
    </row>
    <row r="18" ht="15.75" customHeight="1">
      <c r="K18" s="18"/>
      <c r="L18" s="18"/>
      <c r="M18" s="18"/>
      <c r="N18" s="18"/>
      <c r="P18" s="18"/>
      <c r="S18" s="18"/>
    </row>
    <row r="19" ht="15.75" customHeight="1">
      <c r="K19" s="18"/>
      <c r="L19" s="18"/>
      <c r="M19" s="18"/>
      <c r="N19" s="18"/>
      <c r="P19" s="18"/>
      <c r="S19" s="18"/>
    </row>
    <row r="20" ht="15.75" customHeight="1">
      <c r="K20" s="18"/>
      <c r="L20" s="18"/>
      <c r="M20" s="18"/>
      <c r="N20" s="18"/>
      <c r="P20" s="18"/>
      <c r="S20" s="18"/>
    </row>
    <row r="21" ht="15.75" customHeight="1">
      <c r="K21" s="18"/>
      <c r="L21" s="18"/>
      <c r="M21" s="18"/>
      <c r="N21" s="18"/>
      <c r="P21" s="18"/>
      <c r="S21" s="18"/>
    </row>
    <row r="22" ht="15.75" customHeight="1">
      <c r="K22" s="18"/>
      <c r="L22" s="18"/>
      <c r="M22" s="18"/>
      <c r="N22" s="18"/>
      <c r="P22" s="18"/>
      <c r="S22" s="18"/>
    </row>
    <row r="23" ht="15.75" customHeight="1">
      <c r="K23" s="18"/>
      <c r="L23" s="18"/>
      <c r="M23" s="18"/>
      <c r="N23" s="18"/>
      <c r="P23" s="18"/>
      <c r="S23" s="18"/>
    </row>
    <row r="24" ht="15.75" customHeight="1">
      <c r="K24" s="18"/>
      <c r="L24" s="18"/>
      <c r="M24" s="18"/>
      <c r="N24" s="18"/>
      <c r="P24" s="18"/>
      <c r="S24" s="18"/>
    </row>
    <row r="25" ht="15.75" customHeight="1">
      <c r="K25" s="18"/>
      <c r="L25" s="18"/>
      <c r="M25" s="18"/>
      <c r="N25" s="18"/>
      <c r="P25" s="18"/>
      <c r="S25" s="18"/>
    </row>
    <row r="26" ht="15.75" customHeight="1">
      <c r="K26" s="18"/>
      <c r="L26" s="18"/>
      <c r="M26" s="18"/>
      <c r="N26" s="18"/>
      <c r="P26" s="18"/>
      <c r="S26" s="18"/>
    </row>
    <row r="27" ht="15.75" customHeight="1">
      <c r="K27" s="18"/>
      <c r="L27" s="18"/>
      <c r="M27" s="18"/>
      <c r="N27" s="18"/>
      <c r="P27" s="18"/>
      <c r="S27" s="18"/>
    </row>
    <row r="28" ht="15.75" customHeight="1">
      <c r="K28" s="18"/>
      <c r="L28" s="18"/>
      <c r="M28" s="18"/>
      <c r="N28" s="18"/>
      <c r="P28" s="18"/>
      <c r="S28" s="18"/>
    </row>
    <row r="29" ht="15.75" customHeight="1">
      <c r="K29" s="18"/>
      <c r="L29" s="18"/>
      <c r="M29" s="18"/>
      <c r="N29" s="18"/>
      <c r="P29" s="18"/>
      <c r="S29" s="18"/>
    </row>
    <row r="30" ht="15.75" customHeight="1">
      <c r="K30" s="18"/>
      <c r="L30" s="18"/>
      <c r="M30" s="18"/>
      <c r="N30" s="18"/>
      <c r="P30" s="18"/>
      <c r="S30" s="18"/>
    </row>
    <row r="31" ht="15.75" customHeight="1">
      <c r="K31" s="18"/>
      <c r="L31" s="18"/>
      <c r="M31" s="18"/>
      <c r="N31" s="18"/>
      <c r="P31" s="18"/>
      <c r="S31" s="18"/>
    </row>
    <row r="32" ht="15.75" customHeight="1">
      <c r="K32" s="18"/>
      <c r="L32" s="18"/>
      <c r="M32" s="18"/>
      <c r="N32" s="18"/>
      <c r="P32" s="18"/>
      <c r="S32" s="18"/>
    </row>
    <row r="33" ht="15.75" customHeight="1">
      <c r="K33" s="18"/>
      <c r="L33" s="18"/>
      <c r="M33" s="18"/>
      <c r="N33" s="18"/>
      <c r="P33" s="18"/>
      <c r="S33" s="18"/>
    </row>
    <row r="34" ht="15.75" customHeight="1">
      <c r="K34" s="18"/>
      <c r="L34" s="18"/>
      <c r="M34" s="18"/>
      <c r="N34" s="18"/>
      <c r="P34" s="18"/>
      <c r="S34" s="18"/>
    </row>
    <row r="35" ht="15.75" customHeight="1">
      <c r="K35" s="18"/>
      <c r="L35" s="18"/>
      <c r="M35" s="18"/>
      <c r="N35" s="18"/>
      <c r="P35" s="18"/>
      <c r="S35" s="18"/>
    </row>
    <row r="36" ht="15.75" customHeight="1">
      <c r="K36" s="18"/>
      <c r="L36" s="18"/>
      <c r="M36" s="18"/>
      <c r="N36" s="18"/>
      <c r="P36" s="18"/>
      <c r="S36" s="18"/>
    </row>
    <row r="37" ht="15.75" customHeight="1">
      <c r="K37" s="18"/>
      <c r="L37" s="18"/>
      <c r="M37" s="18"/>
      <c r="N37" s="18"/>
      <c r="P37" s="18"/>
      <c r="S37" s="18"/>
    </row>
    <row r="38" ht="15.75" customHeight="1">
      <c r="K38" s="18"/>
      <c r="L38" s="18"/>
      <c r="M38" s="18"/>
      <c r="N38" s="18"/>
      <c r="P38" s="18"/>
      <c r="S38" s="18"/>
    </row>
    <row r="39" ht="15.75" customHeight="1">
      <c r="K39" s="18"/>
      <c r="L39" s="18"/>
      <c r="M39" s="18"/>
      <c r="N39" s="18"/>
      <c r="P39" s="18"/>
      <c r="S39" s="1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">
    <mergeCell ref="A1:U1"/>
    <mergeCell ref="A16:U16"/>
  </mergeCells>
  <dataValidations>
    <dataValidation type="list" allowBlank="1" showErrorMessage="1" sqref="D3:D14">
      <formula1>"Hardware,Software"</formula1>
    </dataValidation>
    <dataValidation type="list" allowBlank="1" showErrorMessage="1" sqref="L3:L14">
      <formula1>"4 - Crítico,3 - Alto"</formula1>
    </dataValidation>
    <dataValidation type="list" allowBlank="1" showErrorMessage="1" sqref="P3:P14">
      <formula1>"Crítico,Alto"</formula1>
    </dataValidation>
    <dataValidation type="list" allowBlank="1" showErrorMessage="1" sqref="N3:N14">
      <formula1>"4 - Crítico,3 - Alto"</formula1>
    </dataValidation>
    <dataValidation type="list" allowBlank="1" showErrorMessage="1" sqref="M3:M14">
      <formula1>"4 - Crítico,3 - Alto,2 - Medio"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9.43"/>
    <col customWidth="1" min="3" max="3" width="14.43"/>
    <col customWidth="1" min="4" max="4" width="17.71"/>
    <col customWidth="1" min="5" max="5" width="13.0"/>
    <col customWidth="1" min="6" max="6" width="15.43"/>
    <col customWidth="1" min="7" max="7" width="14.29"/>
    <col customWidth="1" min="8" max="8" width="18.86"/>
    <col customWidth="1" min="9" max="9" width="16.71"/>
    <col customWidth="1" min="10" max="10" width="21.14"/>
    <col customWidth="1" min="11" max="11" width="23.0"/>
    <col customWidth="1" min="12" max="12" width="17.71"/>
    <col customWidth="1" min="13" max="13" width="0.43"/>
    <col customWidth="1" min="14" max="14" width="20.86"/>
    <col customWidth="1" min="15" max="15" width="43.0"/>
    <col customWidth="1" min="16" max="16" width="18.29"/>
    <col customWidth="1" min="17" max="27" width="8.71"/>
  </cols>
  <sheetData>
    <row r="1" ht="15.0" customHeight="1">
      <c r="A1" s="36" t="s">
        <v>209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8"/>
    </row>
    <row r="3">
      <c r="A3" s="39" t="s">
        <v>210</v>
      </c>
      <c r="B3" s="39" t="s">
        <v>211</v>
      </c>
      <c r="C3" s="39" t="s">
        <v>212</v>
      </c>
      <c r="D3" s="39" t="s">
        <v>213</v>
      </c>
      <c r="E3" s="39" t="s">
        <v>214</v>
      </c>
      <c r="F3" s="39" t="s">
        <v>215</v>
      </c>
      <c r="G3" s="39" t="s">
        <v>216</v>
      </c>
      <c r="H3" s="39" t="s">
        <v>217</v>
      </c>
      <c r="I3" s="39" t="s">
        <v>218</v>
      </c>
      <c r="J3" s="40" t="s">
        <v>219</v>
      </c>
      <c r="K3" s="40" t="s">
        <v>220</v>
      </c>
      <c r="L3" s="40" t="s">
        <v>221</v>
      </c>
      <c r="M3" s="41"/>
      <c r="N3" s="42" t="s">
        <v>222</v>
      </c>
      <c r="O3" s="42" t="s">
        <v>223</v>
      </c>
      <c r="P3" s="43" t="s">
        <v>224</v>
      </c>
    </row>
    <row r="4">
      <c r="A4" s="44">
        <v>1.0</v>
      </c>
      <c r="B4" s="45" t="s">
        <v>225</v>
      </c>
      <c r="C4" s="46" t="s">
        <v>226</v>
      </c>
      <c r="D4" s="46" t="s">
        <v>227</v>
      </c>
      <c r="E4" s="46" t="s">
        <v>228</v>
      </c>
      <c r="F4" s="46" t="s">
        <v>229</v>
      </c>
      <c r="G4" s="47" t="s">
        <v>230</v>
      </c>
      <c r="H4" s="46" t="s">
        <v>231</v>
      </c>
      <c r="I4" s="46" t="s">
        <v>232</v>
      </c>
      <c r="J4" s="46" t="s">
        <v>233</v>
      </c>
      <c r="K4" s="46" t="s">
        <v>32</v>
      </c>
      <c r="L4" s="46" t="s">
        <v>234</v>
      </c>
      <c r="M4" s="18"/>
      <c r="N4" s="48">
        <v>203.0</v>
      </c>
      <c r="O4" s="48"/>
      <c r="P4" s="49"/>
    </row>
    <row r="5">
      <c r="A5" s="44">
        <v>2.0</v>
      </c>
      <c r="B5" s="45" t="s">
        <v>235</v>
      </c>
      <c r="C5" s="46" t="s">
        <v>226</v>
      </c>
      <c r="D5" s="46" t="s">
        <v>227</v>
      </c>
      <c r="E5" s="46" t="s">
        <v>228</v>
      </c>
      <c r="F5" s="46" t="s">
        <v>229</v>
      </c>
      <c r="G5" s="47" t="s">
        <v>230</v>
      </c>
      <c r="H5" s="46" t="s">
        <v>231</v>
      </c>
      <c r="I5" s="46" t="s">
        <v>232</v>
      </c>
      <c r="J5" s="46" t="s">
        <v>233</v>
      </c>
      <c r="K5" s="46" t="s">
        <v>32</v>
      </c>
      <c r="L5" s="46" t="s">
        <v>234</v>
      </c>
      <c r="M5" s="18"/>
      <c r="N5" s="48">
        <v>203.0</v>
      </c>
      <c r="O5" s="48"/>
      <c r="P5" s="49"/>
    </row>
    <row r="6">
      <c r="A6" s="44">
        <v>3.0</v>
      </c>
      <c r="B6" s="45" t="s">
        <v>236</v>
      </c>
      <c r="C6" s="46" t="s">
        <v>226</v>
      </c>
      <c r="D6" s="46" t="s">
        <v>227</v>
      </c>
      <c r="E6" s="46" t="s">
        <v>228</v>
      </c>
      <c r="F6" s="46" t="s">
        <v>229</v>
      </c>
      <c r="G6" s="47" t="s">
        <v>230</v>
      </c>
      <c r="H6" s="46" t="s">
        <v>231</v>
      </c>
      <c r="I6" s="46" t="s">
        <v>232</v>
      </c>
      <c r="J6" s="46" t="s">
        <v>233</v>
      </c>
      <c r="K6" s="46" t="s">
        <v>32</v>
      </c>
      <c r="L6" s="46" t="s">
        <v>234</v>
      </c>
      <c r="M6" s="50"/>
      <c r="N6" s="48">
        <v>203.0</v>
      </c>
      <c r="O6" s="48"/>
      <c r="P6" s="49"/>
    </row>
    <row r="7">
      <c r="A7" s="44">
        <v>4.0</v>
      </c>
      <c r="B7" s="45" t="s">
        <v>237</v>
      </c>
      <c r="C7" s="46" t="s">
        <v>226</v>
      </c>
      <c r="D7" s="46" t="s">
        <v>227</v>
      </c>
      <c r="E7" s="46" t="s">
        <v>228</v>
      </c>
      <c r="F7" s="46" t="s">
        <v>229</v>
      </c>
      <c r="G7" s="47" t="s">
        <v>230</v>
      </c>
      <c r="H7" s="46" t="s">
        <v>231</v>
      </c>
      <c r="I7" s="46" t="s">
        <v>232</v>
      </c>
      <c r="J7" s="46" t="s">
        <v>233</v>
      </c>
      <c r="K7" s="46" t="s">
        <v>148</v>
      </c>
      <c r="L7" s="46" t="s">
        <v>234</v>
      </c>
      <c r="M7" s="51"/>
      <c r="N7" s="48">
        <v>203.0</v>
      </c>
      <c r="O7" s="48"/>
      <c r="P7" s="49"/>
    </row>
    <row r="8">
      <c r="A8" s="52">
        <v>5.0</v>
      </c>
      <c r="B8" s="53" t="s">
        <v>238</v>
      </c>
      <c r="C8" s="54" t="s">
        <v>239</v>
      </c>
      <c r="D8" s="54" t="s">
        <v>240</v>
      </c>
      <c r="E8" s="54" t="s">
        <v>241</v>
      </c>
      <c r="F8" s="54" t="s">
        <v>242</v>
      </c>
      <c r="G8" s="55" t="s">
        <v>230</v>
      </c>
      <c r="H8" s="54" t="s">
        <v>231</v>
      </c>
      <c r="I8" s="54" t="s">
        <v>243</v>
      </c>
      <c r="J8" s="54" t="s">
        <v>244</v>
      </c>
      <c r="K8" s="54" t="s">
        <v>32</v>
      </c>
      <c r="L8" s="54" t="s">
        <v>245</v>
      </c>
      <c r="M8" s="51"/>
      <c r="N8" s="56">
        <v>216.0</v>
      </c>
      <c r="O8" s="56"/>
      <c r="P8" s="49"/>
    </row>
    <row r="9">
      <c r="A9" s="57">
        <v>6.0</v>
      </c>
      <c r="B9" s="58" t="s">
        <v>246</v>
      </c>
      <c r="C9" s="59" t="s">
        <v>239</v>
      </c>
      <c r="D9" s="59" t="s">
        <v>227</v>
      </c>
      <c r="E9" s="59" t="s">
        <v>247</v>
      </c>
      <c r="F9" s="60" t="s">
        <v>248</v>
      </c>
      <c r="G9" s="61" t="s">
        <v>230</v>
      </c>
      <c r="H9" s="59" t="s">
        <v>231</v>
      </c>
      <c r="I9" s="59" t="s">
        <v>243</v>
      </c>
      <c r="J9" s="59" t="s">
        <v>249</v>
      </c>
      <c r="K9" s="59" t="s">
        <v>148</v>
      </c>
      <c r="L9" s="59" t="s">
        <v>250</v>
      </c>
      <c r="M9" s="51"/>
      <c r="N9" s="62">
        <v>203.0</v>
      </c>
      <c r="O9" s="63" t="s">
        <v>251</v>
      </c>
      <c r="P9" s="49"/>
    </row>
    <row r="10">
      <c r="A10" s="52">
        <v>7.0</v>
      </c>
      <c r="B10" s="53" t="s">
        <v>252</v>
      </c>
      <c r="C10" s="54" t="s">
        <v>239</v>
      </c>
      <c r="D10" s="54" t="s">
        <v>227</v>
      </c>
      <c r="E10" s="64" t="s">
        <v>247</v>
      </c>
      <c r="F10" s="65" t="s">
        <v>248</v>
      </c>
      <c r="G10" s="66" t="s">
        <v>230</v>
      </c>
      <c r="H10" s="54" t="s">
        <v>231</v>
      </c>
      <c r="I10" s="54" t="s">
        <v>253</v>
      </c>
      <c r="J10" s="54" t="s">
        <v>254</v>
      </c>
      <c r="K10" s="54" t="s">
        <v>148</v>
      </c>
      <c r="L10" s="54" t="s">
        <v>255</v>
      </c>
      <c r="M10" s="51"/>
      <c r="N10" s="62">
        <v>203.0</v>
      </c>
      <c r="O10" s="62"/>
      <c r="P10" s="67" t="s">
        <v>256</v>
      </c>
    </row>
    <row r="11">
      <c r="A11" s="57">
        <v>8.0</v>
      </c>
      <c r="B11" s="58" t="s">
        <v>257</v>
      </c>
      <c r="C11" s="59" t="s">
        <v>239</v>
      </c>
      <c r="D11" s="59" t="s">
        <v>227</v>
      </c>
      <c r="E11" s="59" t="s">
        <v>247</v>
      </c>
      <c r="F11" s="60" t="s">
        <v>257</v>
      </c>
      <c r="G11" s="61" t="s">
        <v>230</v>
      </c>
      <c r="H11" s="59" t="s">
        <v>231</v>
      </c>
      <c r="I11" s="59" t="s">
        <v>253</v>
      </c>
      <c r="J11" s="59" t="s">
        <v>254</v>
      </c>
      <c r="K11" s="59" t="s">
        <v>148</v>
      </c>
      <c r="L11" s="59" t="s">
        <v>255</v>
      </c>
      <c r="M11" s="51"/>
      <c r="N11" s="62">
        <v>203.0</v>
      </c>
      <c r="O11" s="62"/>
      <c r="P11" s="49"/>
    </row>
    <row r="12">
      <c r="A12" s="52">
        <v>9.0</v>
      </c>
      <c r="B12" s="53" t="s">
        <v>258</v>
      </c>
      <c r="C12" s="54" t="s">
        <v>239</v>
      </c>
      <c r="D12" s="54" t="s">
        <v>227</v>
      </c>
      <c r="E12" s="54" t="s">
        <v>247</v>
      </c>
      <c r="F12" s="65" t="s">
        <v>259</v>
      </c>
      <c r="G12" s="55" t="s">
        <v>230</v>
      </c>
      <c r="H12" s="54" t="s">
        <v>231</v>
      </c>
      <c r="I12" s="54" t="s">
        <v>260</v>
      </c>
      <c r="J12" s="54" t="s">
        <v>249</v>
      </c>
      <c r="K12" s="54" t="s">
        <v>148</v>
      </c>
      <c r="L12" s="54" t="s">
        <v>261</v>
      </c>
      <c r="M12" s="51"/>
      <c r="N12" s="68">
        <v>204.0</v>
      </c>
      <c r="O12" s="69" t="s">
        <v>262</v>
      </c>
      <c r="P12" s="67" t="s">
        <v>256</v>
      </c>
    </row>
    <row r="13">
      <c r="A13" s="57">
        <v>10.0</v>
      </c>
      <c r="B13" s="58" t="s">
        <v>263</v>
      </c>
      <c r="C13" s="59" t="s">
        <v>239</v>
      </c>
      <c r="D13" s="59" t="s">
        <v>227</v>
      </c>
      <c r="E13" s="59" t="s">
        <v>247</v>
      </c>
      <c r="F13" s="60" t="s">
        <v>264</v>
      </c>
      <c r="G13" s="61" t="s">
        <v>230</v>
      </c>
      <c r="H13" s="59" t="s">
        <v>231</v>
      </c>
      <c r="I13" s="59" t="s">
        <v>260</v>
      </c>
      <c r="J13" s="59" t="s">
        <v>254</v>
      </c>
      <c r="K13" s="59" t="s">
        <v>148</v>
      </c>
      <c r="L13" s="59" t="s">
        <v>255</v>
      </c>
      <c r="M13" s="51"/>
      <c r="N13" s="68">
        <v>204.0</v>
      </c>
      <c r="O13" s="68"/>
      <c r="P13" s="49"/>
    </row>
    <row r="14">
      <c r="A14" s="70">
        <v>11.0</v>
      </c>
      <c r="B14" s="71" t="s">
        <v>265</v>
      </c>
      <c r="C14" s="72" t="s">
        <v>239</v>
      </c>
      <c r="D14" s="54" t="s">
        <v>227</v>
      </c>
      <c r="E14" s="54" t="s">
        <v>247</v>
      </c>
      <c r="F14" s="65"/>
      <c r="G14" s="55" t="s">
        <v>230</v>
      </c>
      <c r="H14" s="54" t="s">
        <v>231</v>
      </c>
      <c r="I14" s="54"/>
      <c r="J14" s="54"/>
      <c r="K14" s="72" t="s">
        <v>266</v>
      </c>
      <c r="L14" s="54"/>
      <c r="M14" s="51"/>
      <c r="N14" s="73">
        <v>209.0</v>
      </c>
      <c r="O14" s="74" t="s">
        <v>267</v>
      </c>
      <c r="P14" s="49"/>
    </row>
    <row r="15">
      <c r="A15" s="75">
        <v>12.0</v>
      </c>
      <c r="B15" s="76" t="s">
        <v>268</v>
      </c>
      <c r="C15" s="77" t="s">
        <v>269</v>
      </c>
      <c r="D15" s="77" t="s">
        <v>227</v>
      </c>
      <c r="E15" s="77" t="s">
        <v>247</v>
      </c>
      <c r="F15" s="77" t="s">
        <v>270</v>
      </c>
      <c r="G15" s="78" t="s">
        <v>230</v>
      </c>
      <c r="H15" s="77" t="s">
        <v>231</v>
      </c>
      <c r="I15" s="77" t="s">
        <v>253</v>
      </c>
      <c r="J15" s="77" t="s">
        <v>249</v>
      </c>
      <c r="K15" s="77" t="s">
        <v>148</v>
      </c>
      <c r="L15" s="77" t="s">
        <v>271</v>
      </c>
      <c r="M15" s="51"/>
      <c r="N15" s="79">
        <v>204.0</v>
      </c>
      <c r="O15" s="79"/>
      <c r="P15" s="49"/>
    </row>
    <row r="16">
      <c r="A16" s="75">
        <v>13.0</v>
      </c>
      <c r="B16" s="76" t="s">
        <v>272</v>
      </c>
      <c r="C16" s="77" t="s">
        <v>269</v>
      </c>
      <c r="D16" s="77" t="s">
        <v>273</v>
      </c>
      <c r="E16" s="77" t="s">
        <v>273</v>
      </c>
      <c r="F16" s="77" t="s">
        <v>270</v>
      </c>
      <c r="G16" s="78" t="s">
        <v>230</v>
      </c>
      <c r="H16" s="77" t="s">
        <v>231</v>
      </c>
      <c r="I16" s="77" t="s">
        <v>253</v>
      </c>
      <c r="J16" s="77" t="s">
        <v>249</v>
      </c>
      <c r="K16" s="77" t="s">
        <v>148</v>
      </c>
      <c r="L16" s="77" t="s">
        <v>274</v>
      </c>
      <c r="M16" s="51"/>
      <c r="N16" s="79">
        <v>204.0</v>
      </c>
      <c r="O16" s="79"/>
      <c r="P16" s="49"/>
    </row>
    <row r="17">
      <c r="A17" s="75">
        <v>14.0</v>
      </c>
      <c r="B17" s="80" t="s">
        <v>275</v>
      </c>
      <c r="C17" s="77"/>
      <c r="D17" s="77"/>
      <c r="E17" s="77"/>
      <c r="F17" s="77"/>
      <c r="G17" s="78"/>
      <c r="H17" s="77"/>
      <c r="I17" s="77"/>
      <c r="J17" s="77"/>
      <c r="K17" s="77"/>
      <c r="L17" s="77"/>
      <c r="M17" s="81"/>
      <c r="N17" s="82">
        <v>213.0</v>
      </c>
      <c r="O17" s="82" t="s">
        <v>276</v>
      </c>
      <c r="P17" s="67" t="s">
        <v>256</v>
      </c>
    </row>
    <row r="18">
      <c r="A18" s="75">
        <v>15.0</v>
      </c>
      <c r="B18" s="80" t="s">
        <v>277</v>
      </c>
      <c r="C18" s="77"/>
      <c r="D18" s="77"/>
      <c r="E18" s="77"/>
      <c r="F18" s="77"/>
      <c r="G18" s="78"/>
      <c r="H18" s="77"/>
      <c r="I18" s="77"/>
      <c r="J18" s="77"/>
      <c r="K18" s="77"/>
      <c r="L18" s="77"/>
      <c r="M18" s="81"/>
      <c r="N18" s="83">
        <v>199.0</v>
      </c>
      <c r="O18" s="83"/>
      <c r="P18" s="49"/>
    </row>
    <row r="19">
      <c r="A19" s="75">
        <v>16.0</v>
      </c>
      <c r="B19" s="80" t="s">
        <v>278</v>
      </c>
      <c r="C19" s="77"/>
      <c r="D19" s="77"/>
      <c r="E19" s="77"/>
      <c r="F19" s="77"/>
      <c r="G19" s="78"/>
      <c r="H19" s="77"/>
      <c r="I19" s="77"/>
      <c r="J19" s="77"/>
      <c r="K19" s="77"/>
      <c r="L19" s="77"/>
      <c r="M19" s="81"/>
      <c r="N19" s="84">
        <v>227.0</v>
      </c>
      <c r="O19" s="85" t="s">
        <v>279</v>
      </c>
      <c r="P19" s="67" t="s">
        <v>256</v>
      </c>
    </row>
    <row r="20">
      <c r="A20" s="75">
        <v>17.0</v>
      </c>
      <c r="B20" s="80" t="s">
        <v>280</v>
      </c>
      <c r="C20" s="77"/>
      <c r="D20" s="77"/>
      <c r="E20" s="77"/>
      <c r="F20" s="77"/>
      <c r="G20" s="78"/>
      <c r="H20" s="77"/>
      <c r="I20" s="77"/>
      <c r="J20" s="77"/>
      <c r="K20" s="77"/>
      <c r="L20" s="77"/>
      <c r="M20" s="81"/>
      <c r="N20" s="79">
        <v>217.0</v>
      </c>
      <c r="O20" s="79"/>
      <c r="P20" s="49"/>
    </row>
    <row r="21">
      <c r="A21" s="75">
        <v>18.0</v>
      </c>
      <c r="B21" s="80" t="s">
        <v>281</v>
      </c>
      <c r="C21" s="77"/>
      <c r="D21" s="77"/>
      <c r="E21" s="77"/>
      <c r="F21" s="77"/>
      <c r="G21" s="78"/>
      <c r="H21" s="77"/>
      <c r="I21" s="77"/>
      <c r="J21" s="77"/>
      <c r="K21" s="77"/>
      <c r="L21" s="77"/>
      <c r="M21" s="81"/>
      <c r="N21" s="86">
        <v>66.0</v>
      </c>
      <c r="O21" s="86"/>
      <c r="P21" s="49"/>
    </row>
    <row r="22">
      <c r="A22" s="75">
        <v>19.0</v>
      </c>
      <c r="B22" s="80" t="s">
        <v>282</v>
      </c>
      <c r="C22" s="77"/>
      <c r="D22" s="77"/>
      <c r="E22" s="77"/>
      <c r="F22" s="77"/>
      <c r="G22" s="78"/>
      <c r="H22" s="77"/>
      <c r="I22" s="77"/>
      <c r="J22" s="77"/>
      <c r="K22" s="77"/>
      <c r="L22" s="77"/>
      <c r="M22" s="81"/>
      <c r="N22" s="86">
        <v>225.0</v>
      </c>
      <c r="O22" s="86"/>
      <c r="P22" s="49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ht="15.0" customHeight="1">
      <c r="A24" s="87" t="s">
        <v>283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8"/>
    </row>
    <row r="25">
      <c r="A25" s="88" t="s">
        <v>284</v>
      </c>
      <c r="B25" s="88" t="s">
        <v>285</v>
      </c>
      <c r="C25" s="88" t="s">
        <v>286</v>
      </c>
      <c r="D25" s="88" t="s">
        <v>287</v>
      </c>
      <c r="E25" s="88" t="s">
        <v>288</v>
      </c>
      <c r="F25" s="88" t="s">
        <v>289</v>
      </c>
      <c r="G25" s="88" t="s">
        <v>290</v>
      </c>
      <c r="H25" s="88" t="s">
        <v>291</v>
      </c>
      <c r="I25" s="88" t="s">
        <v>292</v>
      </c>
      <c r="J25" s="88" t="s">
        <v>293</v>
      </c>
      <c r="K25" s="18"/>
      <c r="L25" s="18"/>
      <c r="M25" s="18"/>
    </row>
    <row r="26">
      <c r="A26" s="53" t="s">
        <v>225</v>
      </c>
      <c r="B26" s="55" t="s">
        <v>294</v>
      </c>
      <c r="C26" s="89" t="s">
        <v>295</v>
      </c>
      <c r="D26" s="89" t="s">
        <v>295</v>
      </c>
      <c r="E26" s="89" t="s">
        <v>295</v>
      </c>
      <c r="F26" s="89" t="s">
        <v>295</v>
      </c>
      <c r="G26" s="89" t="s">
        <v>295</v>
      </c>
      <c r="H26" s="90" t="s">
        <v>67</v>
      </c>
      <c r="I26" s="44" t="s">
        <v>226</v>
      </c>
      <c r="J26" s="91" t="s">
        <v>296</v>
      </c>
      <c r="K26" s="18"/>
      <c r="L26" s="18"/>
      <c r="M26" s="18"/>
    </row>
    <row r="27">
      <c r="A27" s="58" t="s">
        <v>235</v>
      </c>
      <c r="B27" s="61" t="s">
        <v>294</v>
      </c>
      <c r="C27" s="89" t="s">
        <v>295</v>
      </c>
      <c r="D27" s="89" t="s">
        <v>295</v>
      </c>
      <c r="E27" s="89" t="s">
        <v>295</v>
      </c>
      <c r="F27" s="89" t="s">
        <v>295</v>
      </c>
      <c r="G27" s="89" t="s">
        <v>295</v>
      </c>
      <c r="H27" s="90" t="s">
        <v>67</v>
      </c>
      <c r="I27" s="44" t="s">
        <v>226</v>
      </c>
      <c r="J27" s="91" t="s">
        <v>296</v>
      </c>
      <c r="K27" s="18"/>
      <c r="L27" s="18"/>
      <c r="M27" s="18"/>
    </row>
    <row r="28" ht="15.75" customHeight="1">
      <c r="A28" s="53" t="s">
        <v>236</v>
      </c>
      <c r="B28" s="55" t="s">
        <v>294</v>
      </c>
      <c r="C28" s="89" t="s">
        <v>295</v>
      </c>
      <c r="D28" s="89" t="s">
        <v>295</v>
      </c>
      <c r="E28" s="89" t="s">
        <v>295</v>
      </c>
      <c r="F28" s="89" t="s">
        <v>295</v>
      </c>
      <c r="G28" s="89" t="s">
        <v>295</v>
      </c>
      <c r="H28" s="90" t="s">
        <v>67</v>
      </c>
      <c r="I28" s="44" t="s">
        <v>226</v>
      </c>
      <c r="J28" s="91" t="s">
        <v>296</v>
      </c>
      <c r="K28" s="18"/>
      <c r="L28" s="18"/>
      <c r="M28" s="18"/>
    </row>
    <row r="29" ht="15.75" customHeight="1">
      <c r="A29" s="58" t="s">
        <v>237</v>
      </c>
      <c r="B29" s="61" t="s">
        <v>294</v>
      </c>
      <c r="C29" s="89" t="s">
        <v>295</v>
      </c>
      <c r="D29" s="89" t="s">
        <v>295</v>
      </c>
      <c r="E29" s="89" t="s">
        <v>295</v>
      </c>
      <c r="F29" s="89" t="s">
        <v>295</v>
      </c>
      <c r="G29" s="89" t="s">
        <v>295</v>
      </c>
      <c r="H29" s="90" t="s">
        <v>67</v>
      </c>
      <c r="I29" s="44" t="s">
        <v>226</v>
      </c>
      <c r="J29" s="91" t="s">
        <v>296</v>
      </c>
      <c r="K29" s="18"/>
      <c r="L29" s="18"/>
      <c r="M29" s="18"/>
    </row>
    <row r="30" ht="15.75" customHeight="1">
      <c r="A30" s="53" t="s">
        <v>238</v>
      </c>
      <c r="B30" s="55" t="s">
        <v>297</v>
      </c>
      <c r="C30" s="89" t="s">
        <v>295</v>
      </c>
      <c r="D30" s="89" t="s">
        <v>295</v>
      </c>
      <c r="E30" s="89" t="s">
        <v>295</v>
      </c>
      <c r="F30" s="89" t="s">
        <v>295</v>
      </c>
      <c r="G30" s="89" t="s">
        <v>295</v>
      </c>
      <c r="H30" s="89" t="s">
        <v>295</v>
      </c>
      <c r="I30" s="52" t="s">
        <v>239</v>
      </c>
      <c r="J30" s="92" t="s">
        <v>298</v>
      </c>
      <c r="K30" s="18"/>
      <c r="L30" s="18"/>
      <c r="M30" s="18"/>
    </row>
    <row r="31" ht="15.75" customHeight="1">
      <c r="A31" s="58" t="s">
        <v>246</v>
      </c>
      <c r="B31" s="61" t="s">
        <v>299</v>
      </c>
      <c r="C31" s="89" t="s">
        <v>295</v>
      </c>
      <c r="D31" s="89" t="s">
        <v>295</v>
      </c>
      <c r="E31" s="89" t="s">
        <v>295</v>
      </c>
      <c r="F31" s="89" t="s">
        <v>295</v>
      </c>
      <c r="G31" s="89" t="s">
        <v>295</v>
      </c>
      <c r="H31" s="90" t="s">
        <v>67</v>
      </c>
      <c r="I31" s="52" t="s">
        <v>239</v>
      </c>
      <c r="J31" s="92" t="s">
        <v>298</v>
      </c>
      <c r="K31" s="18"/>
      <c r="L31" s="18"/>
      <c r="M31" s="18"/>
    </row>
    <row r="32" ht="15.75" customHeight="1">
      <c r="A32" s="53" t="s">
        <v>252</v>
      </c>
      <c r="B32" s="55" t="s">
        <v>299</v>
      </c>
      <c r="C32" s="89" t="s">
        <v>295</v>
      </c>
      <c r="D32" s="89" t="s">
        <v>295</v>
      </c>
      <c r="E32" s="89" t="s">
        <v>295</v>
      </c>
      <c r="F32" s="89" t="s">
        <v>295</v>
      </c>
      <c r="G32" s="89" t="s">
        <v>295</v>
      </c>
      <c r="H32" s="90" t="s">
        <v>67</v>
      </c>
      <c r="I32" s="52" t="s">
        <v>239</v>
      </c>
      <c r="J32" s="92" t="s">
        <v>298</v>
      </c>
      <c r="K32" s="18"/>
      <c r="L32" s="18"/>
      <c r="M32" s="18"/>
    </row>
    <row r="33" ht="15.75" customHeight="1">
      <c r="A33" s="58" t="s">
        <v>257</v>
      </c>
      <c r="B33" s="61" t="s">
        <v>299</v>
      </c>
      <c r="C33" s="89" t="s">
        <v>295</v>
      </c>
      <c r="D33" s="89" t="s">
        <v>295</v>
      </c>
      <c r="E33" s="89" t="s">
        <v>295</v>
      </c>
      <c r="F33" s="89" t="s">
        <v>295</v>
      </c>
      <c r="G33" s="89" t="s">
        <v>295</v>
      </c>
      <c r="H33" s="90" t="s">
        <v>67</v>
      </c>
      <c r="I33" s="52" t="s">
        <v>239</v>
      </c>
      <c r="J33" s="92" t="s">
        <v>298</v>
      </c>
      <c r="K33" s="18"/>
      <c r="L33" s="18"/>
      <c r="M33" s="18"/>
    </row>
    <row r="34" ht="15.75" customHeight="1">
      <c r="A34" s="53" t="s">
        <v>258</v>
      </c>
      <c r="B34" s="55" t="s">
        <v>300</v>
      </c>
      <c r="C34" s="89" t="s">
        <v>295</v>
      </c>
      <c r="D34" s="89" t="s">
        <v>295</v>
      </c>
      <c r="E34" s="89" t="s">
        <v>295</v>
      </c>
      <c r="F34" s="89" t="s">
        <v>295</v>
      </c>
      <c r="G34" s="90" t="s">
        <v>67</v>
      </c>
      <c r="H34" s="90" t="s">
        <v>67</v>
      </c>
      <c r="I34" s="52" t="s">
        <v>239</v>
      </c>
      <c r="J34" s="92" t="s">
        <v>298</v>
      </c>
      <c r="K34" s="18"/>
      <c r="L34" s="18"/>
      <c r="M34" s="18"/>
    </row>
    <row r="35" ht="15.75" customHeight="1">
      <c r="A35" s="58" t="s">
        <v>263</v>
      </c>
      <c r="B35" s="61" t="s">
        <v>300</v>
      </c>
      <c r="C35" s="89" t="s">
        <v>295</v>
      </c>
      <c r="D35" s="89" t="s">
        <v>295</v>
      </c>
      <c r="E35" s="89" t="s">
        <v>295</v>
      </c>
      <c r="F35" s="89" t="s">
        <v>295</v>
      </c>
      <c r="G35" s="90" t="s">
        <v>67</v>
      </c>
      <c r="H35" s="90" t="s">
        <v>67</v>
      </c>
      <c r="I35" s="52" t="s">
        <v>239</v>
      </c>
      <c r="J35" s="92" t="s">
        <v>298</v>
      </c>
      <c r="K35" s="18"/>
      <c r="L35" s="18"/>
      <c r="M35" s="18"/>
    </row>
    <row r="36" ht="15.75" customHeight="1">
      <c r="A36" s="53" t="s">
        <v>268</v>
      </c>
      <c r="B36" s="55" t="s">
        <v>300</v>
      </c>
      <c r="C36" s="89" t="s">
        <v>295</v>
      </c>
      <c r="D36" s="89" t="s">
        <v>295</v>
      </c>
      <c r="E36" s="89" t="s">
        <v>295</v>
      </c>
      <c r="F36" s="89" t="s">
        <v>295</v>
      </c>
      <c r="G36" s="90" t="s">
        <v>67</v>
      </c>
      <c r="H36" s="90" t="s">
        <v>67</v>
      </c>
      <c r="I36" s="93" t="s">
        <v>269</v>
      </c>
      <c r="J36" s="94" t="s">
        <v>301</v>
      </c>
      <c r="K36" s="18"/>
      <c r="L36" s="18"/>
      <c r="M36" s="18"/>
    </row>
    <row r="37" ht="15.75" customHeight="1">
      <c r="A37" s="58" t="s">
        <v>272</v>
      </c>
      <c r="B37" s="61" t="s">
        <v>300</v>
      </c>
      <c r="C37" s="89" t="s">
        <v>295</v>
      </c>
      <c r="D37" s="89" t="s">
        <v>295</v>
      </c>
      <c r="E37" s="89" t="s">
        <v>295</v>
      </c>
      <c r="F37" s="89" t="s">
        <v>295</v>
      </c>
      <c r="G37" s="90" t="s">
        <v>67</v>
      </c>
      <c r="H37" s="90" t="s">
        <v>67</v>
      </c>
      <c r="I37" s="93" t="s">
        <v>269</v>
      </c>
      <c r="J37" s="94" t="s">
        <v>301</v>
      </c>
      <c r="K37" s="18"/>
      <c r="L37" s="18"/>
      <c r="M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ht="15.0" customHeight="1">
      <c r="A39" s="95" t="s">
        <v>302</v>
      </c>
      <c r="B39" s="2"/>
      <c r="C39" s="2"/>
      <c r="D39" s="2"/>
      <c r="E39" s="2"/>
      <c r="F39" s="2"/>
      <c r="G39" s="2"/>
      <c r="H39" s="2"/>
      <c r="I39" s="2"/>
      <c r="J39" s="3"/>
      <c r="K39" s="18"/>
      <c r="L39" s="18"/>
      <c r="M39" s="18"/>
    </row>
    <row r="40" ht="15.0" customHeight="1">
      <c r="A40" s="96" t="s">
        <v>303</v>
      </c>
      <c r="B40" s="97" t="s">
        <v>304</v>
      </c>
      <c r="K40" s="18"/>
      <c r="L40" s="18"/>
      <c r="M40" s="18"/>
    </row>
    <row r="41" ht="15.0" customHeight="1">
      <c r="A41" s="96" t="s">
        <v>305</v>
      </c>
      <c r="B41" s="97" t="s">
        <v>306</v>
      </c>
      <c r="K41" s="18"/>
      <c r="L41" s="18"/>
      <c r="M41" s="18"/>
    </row>
    <row r="42" ht="15.0" customHeight="1">
      <c r="A42" s="96" t="s">
        <v>307</v>
      </c>
      <c r="B42" s="97" t="s">
        <v>308</v>
      </c>
      <c r="K42" s="18"/>
      <c r="L42" s="18"/>
      <c r="M42" s="18"/>
    </row>
    <row r="43" ht="15.0" customHeight="1">
      <c r="A43" s="96" t="s">
        <v>309</v>
      </c>
      <c r="B43" s="97" t="s">
        <v>310</v>
      </c>
      <c r="K43" s="18"/>
      <c r="L43" s="18"/>
      <c r="M43" s="18"/>
    </row>
    <row r="44" ht="15.0" customHeight="1">
      <c r="A44" s="96" t="s">
        <v>311</v>
      </c>
      <c r="B44" s="97" t="s">
        <v>312</v>
      </c>
      <c r="K44" s="18"/>
      <c r="L44" s="18"/>
      <c r="M44" s="18"/>
    </row>
    <row r="45" ht="15.0" customHeight="1">
      <c r="A45" s="96" t="s">
        <v>313</v>
      </c>
      <c r="B45" s="97" t="s">
        <v>314</v>
      </c>
      <c r="K45" s="18"/>
      <c r="L45" s="18"/>
      <c r="M45" s="18"/>
    </row>
    <row r="46" ht="15.0" customHeight="1">
      <c r="A46" s="96" t="s">
        <v>315</v>
      </c>
      <c r="B46" s="97" t="s">
        <v>316</v>
      </c>
      <c r="K46" s="18"/>
      <c r="L46" s="18"/>
      <c r="M46" s="18"/>
    </row>
    <row r="47" ht="15.0" customHeight="1">
      <c r="A47" s="96" t="s">
        <v>317</v>
      </c>
      <c r="B47" s="97" t="s">
        <v>318</v>
      </c>
      <c r="K47" s="18"/>
      <c r="L47" s="18"/>
      <c r="M47" s="1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1">
    <mergeCell ref="B44:J44"/>
    <mergeCell ref="B45:J45"/>
    <mergeCell ref="B46:J46"/>
    <mergeCell ref="B47:J47"/>
    <mergeCell ref="A1:P1"/>
    <mergeCell ref="A24:M24"/>
    <mergeCell ref="A39:J39"/>
    <mergeCell ref="B40:J40"/>
    <mergeCell ref="B41:J41"/>
    <mergeCell ref="B42:J42"/>
    <mergeCell ref="B43:J43"/>
  </mergeCells>
  <hyperlinks>
    <hyperlink r:id="rId1" ref="O9"/>
    <hyperlink r:id="rId2" ref="O12"/>
    <hyperlink r:id="rId3" ref="O14"/>
    <hyperlink r:id="rId4" ref="O19"/>
  </hyperlinks>
  <printOptions/>
  <pageMargins bottom="1.0" footer="0.0" header="0.0" left="0.75" right="0.75" top="1.0"/>
  <pageSetup orientation="portrait"/>
  <drawing r:id="rId5"/>
</worksheet>
</file>